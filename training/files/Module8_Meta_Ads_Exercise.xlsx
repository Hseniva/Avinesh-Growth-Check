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_Campaign_Results" sheetId="2" state="visible" r:id="rId4"/>
    <sheet name="2_AB_Test" sheetId="3" state="visible" r:id="rId5"/>
    <sheet name="3_Audience_Plan" sheetId="4" state="visible" r:id="rId6"/>
    <sheet name="4_Creative_Pla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<sst xmlns="http://schemas.openxmlformats.org/spreadsheetml/2006/main" count="153" uniqueCount="136">
  <si>
    <t xml:space="preserve">Week 8 Excel exercise: Meta Ads analysis and planning</t>
  </si>
  <si>
    <t xml:space="preserve">Lakaz Gato, custom cake shop in Rose Hill, Mauritius (fictional data). Digital Marketing &amp; AI, Oreegami Mauritius</t>
  </si>
  <si>
    <t xml:space="preserve">How to complete it</t>
  </si>
  <si>
    <t xml:space="preserve">1. Work through the 4 tabs in order. Each tab starts with a short brief.</t>
  </si>
  <si>
    <t xml:space="preserve">2. Type your answers in the YELLOW cells only. Do not change the data cells.</t>
  </si>
  <si>
    <t xml:space="preserve">3. Use Excel formulas wherever you calculate something (e.g. =D6/F6*1000). Your trainer checks the formulas, not just the numbers.</t>
  </si>
  <si>
    <t xml:space="preserve">4. The first row of each calculation table is done for you as a worked example: copy its formulas down.</t>
  </si>
  <si>
    <t xml:space="preserve">5. Formulas you need are in the Week 8 guide: Section 25 (metrics), Section 23 (A/B tests), Section 10 (forecasting), Sections 20–21 (creative).</t>
  </si>
  <si>
    <t xml:space="preserve">6. Save the file as Week8_YourName.xlsx and upload it on the platform. You will receive feedback by email.</t>
  </si>
  <si>
    <t xml:space="preserve">Scoring (out of 20)</t>
  </si>
  <si>
    <t xml:space="preserve">Tab</t>
  </si>
  <si>
    <t xml:space="preserve">What you practise</t>
  </si>
  <si>
    <t xml:space="preserve">Points</t>
  </si>
  <si>
    <t xml:space="preserve">1_Campaign_Results</t>
  </si>
  <si>
    <t xml:space="preserve">Ads Manager metrics by ad: CPM, CTR, CPC, frequency, cost per result, ROAS</t>
  </si>
  <si>
    <t xml:space="preserve">2_AB_Test</t>
  </si>
  <si>
    <t xml:space="preserve">Comparing two creatives, uplift % and choosing a winner</t>
  </si>
  <si>
    <t xml:space="preserve">3_Audience_Plan</t>
  </si>
  <si>
    <t xml:space="preserve">Audience sizes, budget split and forecasts from CPM, CTR and conversion rate</t>
  </si>
  <si>
    <t xml:space="preserve">4_Creative_Plan</t>
  </si>
  <si>
    <t xml:space="preserve">A creative brief with 3 variations and a test plan (written)</t>
  </si>
  <si>
    <t xml:space="preserve">Total</t>
  </si>
  <si>
    <t xml:space="preserve">Legend:</t>
  </si>
  <si>
    <t xml:space="preserve">Yellow cell = your answer</t>
  </si>
  <si>
    <t xml:space="preserve">Blue header = data</t>
  </si>
  <si>
    <t xml:space="preserve">All amounts are in Mauritian rupees (Rs). Lakaz Gato sells mainly through click-to-WhatsApp ads and its website shop. Average cake order: about Rs 1,800.</t>
  </si>
  <si>
    <t xml:space="preserve">Tab 1: Campaign results by ad (October 2026)</t>
  </si>
  <si>
    <t xml:space="preserve">Export from Ads Manager. "Results" = WhatsApp conversations or leads; "Purchases" and "Purchase value" come from the website and WhatsApp labels.</t>
  </si>
  <si>
    <t xml:space="preserve">Campaign</t>
  </si>
  <si>
    <t xml:space="preserve">Ad set</t>
  </si>
  <si>
    <t xml:space="preserve">Ad (creative)</t>
  </si>
  <si>
    <t xml:space="preserve">Amount spent (Rs)</t>
  </si>
  <si>
    <t xml:space="preserve">Reach</t>
  </si>
  <si>
    <t xml:space="preserve">Impressions</t>
  </si>
  <si>
    <t xml:space="preserve">Link clicks</t>
  </si>
  <si>
    <t xml:space="preserve">Results (chats/leads)</t>
  </si>
  <si>
    <t xml:space="preserve">Purchases</t>
  </si>
  <si>
    <t xml:space="preserve">Purchase value (Rs)</t>
  </si>
  <si>
    <t xml:space="preserve">CPM (Rs)</t>
  </si>
  <si>
    <t xml:space="preserve">CTR (link)</t>
  </si>
  <si>
    <t xml:space="preserve">CPC (Rs)</t>
  </si>
  <si>
    <t xml:space="preserve">Frequency</t>
  </si>
  <si>
    <t xml:space="preserve">Cost per result (Rs)</t>
  </si>
  <si>
    <t xml:space="preserve">Cost per purchase (Rs)</t>
  </si>
  <si>
    <t xml:space="preserve">ROAS</t>
  </si>
  <si>
    <t xml:space="preserve">Chats_WhatsApp</t>
  </si>
  <si>
    <t xml:space="preserve">Broad MU 25-55</t>
  </si>
  <si>
    <t xml:space="preserve">Reel_Baking_v1</t>
  </si>
  <si>
    <t xml:space="preserve">Photo_Price_v1</t>
  </si>
  <si>
    <t xml:space="preserve">Radius 15km Rose Hill</t>
  </si>
  <si>
    <t xml:space="preserve">UGC_Customer_v1</t>
  </si>
  <si>
    <t xml:space="preserve">Sales_Website</t>
  </si>
  <si>
    <t xml:space="preserve">Retarget Web 30d</t>
  </si>
  <si>
    <t xml:space="preserve">Carousel_Cakes_v2</t>
  </si>
  <si>
    <t xml:space="preserve">Lookalike 1-3% buyers</t>
  </si>
  <si>
    <t xml:space="preserve">Reel_Unboxing_v1</t>
  </si>
  <si>
    <t xml:space="preserve">Leads_Form</t>
  </si>
  <si>
    <t xml:space="preserve">Weddings interest</t>
  </si>
  <si>
    <t xml:space="preserve">Form_WeddingCake_v1</t>
  </si>
  <si>
    <t xml:space="preserve">Total reach is a simple sum here for the exercise (in Ads Manager one person can be reached by several ads).</t>
  </si>
  <si>
    <t xml:space="preserve">Row 5 is done for you as an example. Copy the formulas down to every ad and the Total row.</t>
  </si>
  <si>
    <t xml:space="preserve">Questions</t>
  </si>
  <si>
    <t xml:space="preserve">Q1. Which ad has the highest ROAS?</t>
  </si>
  <si>
    <t xml:space="preserve">Q2. Which ad has the lowest cost per purchase?</t>
  </si>
  <si>
    <t xml:space="preserve">Q3. Which ad has the highest CTR (link)?</t>
  </si>
  <si>
    <t xml:space="preserve">Q4. Which ad has the highest frequency, and why is that normal for its audience?</t>
  </si>
  <si>
    <t xml:space="preserve">Q5. Overall ROAS of the month (Total row)</t>
  </si>
  <si>
    <t xml:space="preserve">Q6. Lakaz Gato makes a 40% gross margin, so the break-even ROAS is 1 ÷ 40% = 2.5. How many ads are below break-even?</t>
  </si>
  <si>
    <t xml:space="preserve">Q7. The wedding lead form has a cheap cost per lead but few purchases. In 2–3 sentences: what would you change, and which metric would you judge it on?</t>
  </si>
  <si>
    <t xml:space="preserve">Q8. You have Rs 6,000 extra next month. Which ad set would you give it to, and why? (2–3 sentences, using your numbers)</t>
  </si>
  <si>
    <t xml:space="preserve">Tab 2: A/B test of two creatives (click-to-WhatsApp, 14 days)</t>
  </si>
  <si>
    <t xml:space="preserve">Same audience (Mauritius 25-55), same budget, same placements. Only the creative changes. A = product photo with price, B = 20-second customer video.</t>
  </si>
  <si>
    <t xml:space="preserve">Version</t>
  </si>
  <si>
    <t xml:space="preserve">Creative</t>
  </si>
  <si>
    <t xml:space="preserve">Spend (Rs)</t>
  </si>
  <si>
    <t xml:space="preserve">Conversations</t>
  </si>
  <si>
    <t xml:space="preserve">Sales (labelled "Paid")</t>
  </si>
  <si>
    <t xml:space="preserve">Cost per conversation (Rs)</t>
  </si>
  <si>
    <t xml:space="preserve">Chat-to-sale rate</t>
  </si>
  <si>
    <t xml:space="preserve">Cost per sale (Rs)</t>
  </si>
  <si>
    <t xml:space="preserve">A</t>
  </si>
  <si>
    <t xml:space="preserve">Product photo + price</t>
  </si>
  <si>
    <t xml:space="preserve">B</t>
  </si>
  <si>
    <t xml:space="preserve">Customer video (UGC)</t>
  </si>
  <si>
    <t xml:space="preserve">Uplift B vs A</t>
  </si>
  <si>
    <t xml:space="preserve">Row 5 (version A) is done for you. Uplift % = (B − A) ÷ A. For costs, a negative uplift means B is cheaper (better).</t>
  </si>
  <si>
    <t xml:space="preserve">Q1. Which version wins on cost per sale? (use a formula with IF)</t>
  </si>
  <si>
    <t xml:space="preserve">Q2. By what % is the winner’s cost per sale lower than the loser’s?</t>
  </si>
  <si>
    <t xml:space="preserve">Q3. If A’s Rs 7,000 had been spent on B at B’s cost per sale, how many extra sales would Lakaz Gato have made? (round down)</t>
  </si>
  <si>
    <t xml:space="preserve">Q4. Is this test reliable enough to decide? Give 2 reasons for or against, and what you would test next.</t>
  </si>
  <si>
    <t xml:space="preserve">Tab 3: Audience and budget plan for December 2026 (Rs 40,000)</t>
  </si>
  <si>
    <t xml:space="preserve">Forecast results for each audience from the assumptions (blue). Formulas: Section 10 of the guide.</t>
  </si>
  <si>
    <t xml:space="preserve">Total monthly budget (Rs)</t>
  </si>
  <si>
    <t xml:space="preserve">Average order value (Rs)</t>
  </si>
  <si>
    <t xml:space="preserve">Audience</t>
  </si>
  <si>
    <t xml:space="preserve">Estimated audience size</t>
  </si>
  <si>
    <t xml:space="preserve">Budget share</t>
  </si>
  <si>
    <t xml:space="preserve">Conversion rate (purchases ÷ clicks)</t>
  </si>
  <si>
    <t xml:space="preserve">Budget (Rs)</t>
  </si>
  <si>
    <t xml:space="preserve">Revenue (Rs)</t>
  </si>
  <si>
    <t xml:space="preserve">Impressions per person</t>
  </si>
  <si>
    <t xml:space="preserve">Saturation check</t>
  </si>
  <si>
    <t xml:space="preserve">Broad Mauritius 25-55 (Advantage+)</t>
  </si>
  <si>
    <t xml:space="preserve">Lookalike 1-3% of buyers (MU)</t>
  </si>
  <si>
    <t xml:space="preserve">Radius 15 km Rose Hill</t>
  </si>
  <si>
    <t xml:space="preserve">Retarget website visitors 30d</t>
  </si>
  <si>
    <t xml:space="preserve">Customer list (past buyers)</t>
  </si>
  <si>
    <t xml:space="preserve">Row 8 is done for you. "Impressions per person" = impressions ÷ audience size for the month; above 8 the audience will see the ad too often.</t>
  </si>
  <si>
    <t xml:space="preserve">Q1. Check: do the budget shares add up to 100%? (formula returning TRUE/FALSE)</t>
  </si>
  <si>
    <t xml:space="preserve">Q2. Total forecast purchases for December (round to whole orders)</t>
  </si>
  <si>
    <t xml:space="preserve">Q3. Blended forecast ROAS</t>
  </si>
  <si>
    <t xml:space="preserve">Q4. How many audiences are flagged "Too high"? (use COUNTIF)</t>
  </si>
  <si>
    <t xml:space="preserve">Q5. Forecast cost per purchase for the whole plan (Rs)</t>
  </si>
  <si>
    <t xml:space="preserve">Q6. Suggest one change to the budget split and explain it in 1–2 sentences.</t>
  </si>
  <si>
    <t xml:space="preserve">Tab 4: Creative brief with 3 variations</t>
  </si>
  <si>
    <t xml:space="preserve">Campaign: Lakaz Gato "Christmas log cakes" click-to-WhatsApp campaign, Mauritius, 1–24 December. Write 3 REALLY different concepts (Sections 20–21).</t>
  </si>
  <si>
    <t xml:space="preserve">Brief field</t>
  </si>
  <si>
    <t xml:space="preserve">Variation 1</t>
  </si>
  <si>
    <t xml:space="preserve">Variation 2</t>
  </si>
  <si>
    <t xml:space="preserve">Variation 3</t>
  </si>
  <si>
    <t xml:space="preserve">Concept name and angle (price, quality, emotion, proof…)</t>
  </si>
  <si>
    <t xml:space="preserve">Target audience and stage (See / Think / Do / Care)</t>
  </si>
  <si>
    <t xml:space="preserve">Format and ratio (Reel 9:16, image 4:5, carousel…)</t>
  </si>
  <si>
    <t xml:space="preserve">Hook: first 3 seconds or first line</t>
  </si>
  <si>
    <t xml:space="preserve">What we see (short visual description)</t>
  </si>
  <si>
    <t xml:space="preserve">Primary text (max 3 lines)</t>
  </si>
  <si>
    <t xml:space="preserve">Headline (5–8 words)</t>
  </si>
  <si>
    <t xml:space="preserve">Call-to-action button and destination</t>
  </si>
  <si>
    <t xml:space="preserve">Proof element (review, customer, guarantee…)</t>
  </si>
  <si>
    <t xml:space="preserve">AI tools you would use, and what you will check before publishing</t>
  </si>
  <si>
    <t xml:space="preserve">Scoring: 3 pts = 3 complete, really different variations that follow the guide (hook, ratio, one message, proof, matching CTA); 1 pt = the test plan below.</t>
  </si>
  <si>
    <t xml:space="preserve">Test plan</t>
  </si>
  <si>
    <t xml:space="preserve">Hypothesis</t>
  </si>
  <si>
    <t xml:space="preserve">Variable tested</t>
  </si>
  <si>
    <t xml:space="preserve">Success metric</t>
  </si>
  <si>
    <t xml:space="preserve">Budget and length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</si>
</sst>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&quot;Rs &quot;#,##0"/>
    <numFmt numFmtId="166" formatCode="#,##0"/>
    <numFmt numFmtId="167" formatCode="&quot;Rs &quot;#,##0.00"/>
    <numFmt numFmtId="168" formatCode="0.00%"/>
    <numFmt numFmtId="169" formatCode="0.00"/>
    <numFmt numFmtId="170" formatCode="0"/>
    <numFmt numFmtId="171" formatCode="0.0%"/>
    <numFmt numFmtId="172" formatCode="0%"/>
    <numFmt numFmtId="173" formatCode="#,##0.0"/>
    <numFmt numFmtId="174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8F5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80"/>
    <col collapsed="false" customWidth="true" hidden="false" outlineLevel="0" max="4" min="4" style="0" width="16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</row>
    <row r="5" customFormat="false" ht="15" hidden="false" customHeight="false" outlineLevel="0" collapsed="false">
      <c r="B5" s="5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5" t="s">
        <v>5</v>
      </c>
    </row>
    <row r="8" customFormat="false" ht="15" hidden="false" customHeight="false" outlineLevel="0" collapsed="false">
      <c r="B8" s="5" t="s">
        <v>6</v>
      </c>
    </row>
    <row r="9" customFormat="false" ht="15" hidden="false" customHeight="false" outlineLevel="0" collapsed="false">
      <c r="B9" s="5" t="s">
        <v>7</v>
      </c>
    </row>
    <row r="10" customFormat="false" ht="15" hidden="false" customHeight="false" outlineLevel="0" collapsed="false">
      <c r="B10" s="5" t="s">
        <v>8</v>
      </c>
    </row>
    <row r="12" customFormat="false" ht="15" hidden="false" customHeight="false" outlineLevel="0" collapsed="false">
      <c r="B12" s="3" t="s">
        <v>9</v>
      </c>
      <c r="C12" s="4"/>
      <c r="D12" s="4"/>
      <c r="E12" s="4"/>
    </row>
    <row r="13" customFormat="false" ht="15" hidden="false" customHeight="false" outlineLevel="0" collapsed="false">
      <c r="B13" s="6" t="s">
        <v>10</v>
      </c>
      <c r="C13" s="6" t="s">
        <v>11</v>
      </c>
      <c r="D13" s="6" t="s">
        <v>12</v>
      </c>
    </row>
    <row r="14" customFormat="false" ht="15" hidden="false" customHeight="false" outlineLevel="0" collapsed="false">
      <c r="B14" s="7" t="s">
        <v>13</v>
      </c>
      <c r="C14" s="8" t="s">
        <v>14</v>
      </c>
      <c r="D14" s="8" t="n">
        <v>7</v>
      </c>
    </row>
    <row r="15" customFormat="false" ht="15" hidden="false" customHeight="false" outlineLevel="0" collapsed="false">
      <c r="B15" s="7" t="s">
        <v>15</v>
      </c>
      <c r="C15" s="8" t="s">
        <v>16</v>
      </c>
      <c r="D15" s="8" t="n">
        <v>4</v>
      </c>
    </row>
    <row r="16" customFormat="false" ht="15" hidden="false" customHeight="false" outlineLevel="0" collapsed="false">
      <c r="B16" s="7" t="s">
        <v>17</v>
      </c>
      <c r="C16" s="8" t="s">
        <v>18</v>
      </c>
      <c r="D16" s="8" t="n">
        <v>5</v>
      </c>
    </row>
    <row r="17" customFormat="false" ht="15" hidden="false" customHeight="false" outlineLevel="0" collapsed="false">
      <c r="B17" s="7" t="s">
        <v>19</v>
      </c>
      <c r="C17" s="8" t="s">
        <v>20</v>
      </c>
      <c r="D17" s="8" t="n">
        <v>4</v>
      </c>
    </row>
    <row r="18" customFormat="false" ht="15" hidden="false" customHeight="false" outlineLevel="0" collapsed="false">
      <c r="B18" s="7" t="s">
        <v>21</v>
      </c>
      <c r="D18" s="7" t="n">
        <f aca="false">SUM(D14:D17)</f>
        <v>20</v>
      </c>
    </row>
    <row r="20" customFormat="false" ht="15" hidden="false" customHeight="false" outlineLevel="0" collapsed="false">
      <c r="B20" s="9" t="s">
        <v>22</v>
      </c>
      <c r="C20" s="10" t="s">
        <v>23</v>
      </c>
      <c r="D20" s="11" t="s">
        <v>24</v>
      </c>
    </row>
    <row r="22" customFormat="false" ht="15" hidden="false" customHeight="false" outlineLevel="0" collapsed="false">
      <c r="B22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4" min="3" style="0" width="20"/>
    <col collapsed="false" customWidth="true" hidden="false" outlineLevel="0" max="18" min="5" style="0" width="12"/>
  </cols>
  <sheetData>
    <row r="1" customFormat="false" ht="17.35" hidden="false" customHeight="false" outlineLevel="0" collapsed="false">
      <c r="B1" s="1" t="s">
        <v>26</v>
      </c>
    </row>
    <row r="2" customFormat="false" ht="15" hidden="false" customHeight="false" outlineLevel="0" collapsed="false">
      <c r="B2" s="2" t="s">
        <v>27</v>
      </c>
    </row>
    <row r="4" customFormat="false" ht="45" hidden="false" customHeight="true" outlineLevel="0" collapsed="false"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  <c r="R4" s="6" t="s">
        <v>44</v>
      </c>
    </row>
    <row r="5" customFormat="false" ht="15" hidden="false" customHeight="false" outlineLevel="0" collapsed="false">
      <c r="B5" s="8" t="s">
        <v>45</v>
      </c>
      <c r="C5" s="8" t="s">
        <v>46</v>
      </c>
      <c r="D5" s="8" t="s">
        <v>47</v>
      </c>
      <c r="E5" s="12" t="n">
        <v>9000</v>
      </c>
      <c r="F5" s="13" t="n">
        <v>38000</v>
      </c>
      <c r="G5" s="13" t="n">
        <v>95000</v>
      </c>
      <c r="H5" s="13" t="n">
        <v>1330</v>
      </c>
      <c r="I5" s="13" t="n">
        <v>133</v>
      </c>
      <c r="J5" s="13" t="n">
        <v>30</v>
      </c>
      <c r="K5" s="12" t="n">
        <v>54000</v>
      </c>
      <c r="L5" s="14" t="n">
        <f aca="false">E5/G5*1000</f>
        <v>94.7368421052632</v>
      </c>
      <c r="M5" s="15" t="n">
        <f aca="false">H5/G5</f>
        <v>0.014</v>
      </c>
      <c r="N5" s="14" t="n">
        <f aca="false">E5/H5</f>
        <v>6.76691729323308</v>
      </c>
      <c r="O5" s="16" t="n">
        <f aca="false">G5/F5</f>
        <v>2.5</v>
      </c>
      <c r="P5" s="14" t="n">
        <f aca="false">E5/I5</f>
        <v>67.6691729323308</v>
      </c>
      <c r="Q5" s="14" t="n">
        <f aca="false">E5/J5</f>
        <v>300</v>
      </c>
      <c r="R5" s="16" t="n">
        <f aca="false">K5/E5</f>
        <v>6</v>
      </c>
    </row>
    <row r="6" customFormat="false" ht="15" hidden="false" customHeight="false" outlineLevel="0" collapsed="false">
      <c r="B6" s="8" t="s">
        <v>45</v>
      </c>
      <c r="C6" s="8" t="s">
        <v>46</v>
      </c>
      <c r="D6" s="8" t="s">
        <v>48</v>
      </c>
      <c r="E6" s="12" t="n">
        <v>6000</v>
      </c>
      <c r="F6" s="13" t="n">
        <v>30000</v>
      </c>
      <c r="G6" s="13" t="n">
        <v>72000</v>
      </c>
      <c r="H6" s="13" t="n">
        <v>576</v>
      </c>
      <c r="I6" s="13" t="n">
        <v>46</v>
      </c>
      <c r="J6" s="13" t="n">
        <v>9</v>
      </c>
      <c r="K6" s="12" t="n">
        <v>13500</v>
      </c>
      <c r="L6" s="14"/>
      <c r="M6" s="15"/>
      <c r="N6" s="14"/>
      <c r="O6" s="16"/>
      <c r="P6" s="14"/>
      <c r="Q6" s="14"/>
      <c r="R6" s="16"/>
    </row>
    <row r="7" customFormat="false" ht="15" hidden="false" customHeight="false" outlineLevel="0" collapsed="false">
      <c r="B7" s="8" t="s">
        <v>45</v>
      </c>
      <c r="C7" s="8" t="s">
        <v>49</v>
      </c>
      <c r="D7" s="8" t="s">
        <v>50</v>
      </c>
      <c r="E7" s="12" t="n">
        <v>5000</v>
      </c>
      <c r="F7" s="13" t="n">
        <v>14000</v>
      </c>
      <c r="G7" s="13" t="n">
        <v>52000</v>
      </c>
      <c r="H7" s="13" t="n">
        <v>884</v>
      </c>
      <c r="I7" s="13" t="n">
        <v>85</v>
      </c>
      <c r="J7" s="13" t="n">
        <v>22</v>
      </c>
      <c r="K7" s="12" t="n">
        <v>41800</v>
      </c>
      <c r="L7" s="14"/>
      <c r="M7" s="15"/>
      <c r="N7" s="14"/>
      <c r="O7" s="16"/>
      <c r="P7" s="14"/>
      <c r="Q7" s="14"/>
      <c r="R7" s="16"/>
    </row>
    <row r="8" customFormat="false" ht="15" hidden="false" customHeight="false" outlineLevel="0" collapsed="false">
      <c r="B8" s="8" t="s">
        <v>51</v>
      </c>
      <c r="C8" s="8" t="s">
        <v>52</v>
      </c>
      <c r="D8" s="8" t="s">
        <v>53</v>
      </c>
      <c r="E8" s="12" t="n">
        <v>4000</v>
      </c>
      <c r="F8" s="13" t="n">
        <v>3200</v>
      </c>
      <c r="G8" s="13" t="n">
        <v>26000</v>
      </c>
      <c r="H8" s="13" t="n">
        <v>520</v>
      </c>
      <c r="I8" s="13" t="n">
        <v>26</v>
      </c>
      <c r="J8" s="13" t="n">
        <v>16</v>
      </c>
      <c r="K8" s="12" t="n">
        <v>30400</v>
      </c>
      <c r="L8" s="14"/>
      <c r="M8" s="15"/>
      <c r="N8" s="14"/>
      <c r="O8" s="16"/>
      <c r="P8" s="14"/>
      <c r="Q8" s="14"/>
      <c r="R8" s="16"/>
    </row>
    <row r="9" customFormat="false" ht="15" hidden="false" customHeight="false" outlineLevel="0" collapsed="false">
      <c r="B9" s="8" t="s">
        <v>51</v>
      </c>
      <c r="C9" s="8" t="s">
        <v>54</v>
      </c>
      <c r="D9" s="8" t="s">
        <v>55</v>
      </c>
      <c r="E9" s="12" t="n">
        <v>6000</v>
      </c>
      <c r="F9" s="13" t="n">
        <v>26000</v>
      </c>
      <c r="G9" s="13" t="n">
        <v>60000</v>
      </c>
      <c r="H9" s="13" t="n">
        <v>780</v>
      </c>
      <c r="I9" s="13" t="n">
        <v>39</v>
      </c>
      <c r="J9" s="13" t="n">
        <v>12</v>
      </c>
      <c r="K9" s="12" t="n">
        <v>22800</v>
      </c>
      <c r="L9" s="14"/>
      <c r="M9" s="15"/>
      <c r="N9" s="14"/>
      <c r="O9" s="16"/>
      <c r="P9" s="14"/>
      <c r="Q9" s="14"/>
      <c r="R9" s="16"/>
    </row>
    <row r="10" customFormat="false" ht="15" hidden="false" customHeight="false" outlineLevel="0" collapsed="false">
      <c r="B10" s="8" t="s">
        <v>56</v>
      </c>
      <c r="C10" s="8" t="s">
        <v>57</v>
      </c>
      <c r="D10" s="8" t="s">
        <v>58</v>
      </c>
      <c r="E10" s="12" t="n">
        <v>5000</v>
      </c>
      <c r="F10" s="13" t="n">
        <v>21000</v>
      </c>
      <c r="G10" s="13" t="n">
        <v>48000</v>
      </c>
      <c r="H10" s="13" t="n">
        <v>384</v>
      </c>
      <c r="I10" s="13" t="n">
        <v>64</v>
      </c>
      <c r="J10" s="13" t="n">
        <v>4</v>
      </c>
      <c r="K10" s="12" t="n">
        <v>34000</v>
      </c>
      <c r="L10" s="14"/>
      <c r="M10" s="15"/>
      <c r="N10" s="14"/>
      <c r="O10" s="16"/>
      <c r="P10" s="14"/>
      <c r="Q10" s="14"/>
      <c r="R10" s="16"/>
    </row>
    <row r="11" customFormat="false" ht="15" hidden="false" customHeight="false" outlineLevel="0" collapsed="false">
      <c r="B11" s="7" t="s">
        <v>21</v>
      </c>
      <c r="C11" s="8"/>
      <c r="D11" s="8"/>
      <c r="E11" s="17" t="n">
        <f aca="false">SUM(E5:E10)</f>
        <v>35000</v>
      </c>
      <c r="F11" s="18" t="n">
        <f aca="false">SUM(F5:F10)</f>
        <v>132200</v>
      </c>
      <c r="G11" s="18" t="n">
        <f aca="false">SUM(G5:G10)</f>
        <v>353000</v>
      </c>
      <c r="H11" s="18" t="n">
        <f aca="false">SUM(H5:H10)</f>
        <v>4474</v>
      </c>
      <c r="I11" s="18" t="n">
        <f aca="false">SUM(I5:I10)</f>
        <v>393</v>
      </c>
      <c r="J11" s="18" t="n">
        <f aca="false">SUM(J5:J10)</f>
        <v>93</v>
      </c>
      <c r="K11" s="17" t="n">
        <f aca="false">SUM(K5:K10)</f>
        <v>196500</v>
      </c>
      <c r="L11" s="14"/>
      <c r="M11" s="15"/>
      <c r="N11" s="14"/>
      <c r="O11" s="16"/>
      <c r="P11" s="14"/>
      <c r="Q11" s="14"/>
      <c r="R11" s="16"/>
    </row>
    <row r="12" customFormat="false" ht="15" hidden="false" customHeight="false" outlineLevel="0" collapsed="false">
      <c r="B12" s="2" t="s">
        <v>59</v>
      </c>
    </row>
    <row r="13" customFormat="false" ht="15" hidden="false" customHeight="false" outlineLevel="0" collapsed="false">
      <c r="B13" s="19" t="s">
        <v>60</v>
      </c>
    </row>
    <row r="15" customFormat="false" ht="15" hidden="false" customHeight="false" outlineLevel="0" collapsed="false">
      <c r="B15" s="3" t="s">
        <v>61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customFormat="false" ht="30" hidden="false" customHeight="true" outlineLevel="0" collapsed="false">
      <c r="B16" s="20" t="s">
        <v>62</v>
      </c>
      <c r="C16" s="20"/>
      <c r="D16" s="20"/>
      <c r="E16" s="20"/>
      <c r="F16" s="20"/>
      <c r="G16" s="20"/>
      <c r="H16" s="20"/>
      <c r="I16" s="20"/>
      <c r="J16" s="20"/>
      <c r="K16" s="10"/>
      <c r="L16" s="10"/>
      <c r="M16" s="10"/>
      <c r="N16" s="10"/>
    </row>
    <row r="17" customFormat="false" ht="30" hidden="false" customHeight="true" outlineLevel="0" collapsed="false">
      <c r="B17" s="20" t="s">
        <v>63</v>
      </c>
      <c r="C17" s="20"/>
      <c r="D17" s="20"/>
      <c r="E17" s="20"/>
      <c r="F17" s="20"/>
      <c r="G17" s="20"/>
      <c r="H17" s="20"/>
      <c r="I17" s="20"/>
      <c r="J17" s="20"/>
      <c r="K17" s="10"/>
      <c r="L17" s="10"/>
      <c r="M17" s="10"/>
      <c r="N17" s="10"/>
    </row>
    <row r="18" customFormat="false" ht="30" hidden="false" customHeight="true" outlineLevel="0" collapsed="false">
      <c r="B18" s="20" t="s">
        <v>64</v>
      </c>
      <c r="C18" s="20"/>
      <c r="D18" s="20"/>
      <c r="E18" s="20"/>
      <c r="F18" s="20"/>
      <c r="G18" s="20"/>
      <c r="H18" s="20"/>
      <c r="I18" s="20"/>
      <c r="J18" s="20"/>
      <c r="K18" s="10"/>
      <c r="L18" s="10"/>
      <c r="M18" s="10"/>
      <c r="N18" s="10"/>
    </row>
    <row r="19" customFormat="false" ht="30" hidden="false" customHeight="true" outlineLevel="0" collapsed="false">
      <c r="B19" s="20" t="s">
        <v>65</v>
      </c>
      <c r="C19" s="20"/>
      <c r="D19" s="20"/>
      <c r="E19" s="20"/>
      <c r="F19" s="20"/>
      <c r="G19" s="20"/>
      <c r="H19" s="20"/>
      <c r="I19" s="20"/>
      <c r="J19" s="20"/>
      <c r="K19" s="10"/>
      <c r="L19" s="10"/>
      <c r="M19" s="10"/>
      <c r="N19" s="10"/>
    </row>
    <row r="20" customFormat="false" ht="30" hidden="false" customHeight="true" outlineLevel="0" collapsed="false">
      <c r="B20" s="20" t="s">
        <v>66</v>
      </c>
      <c r="C20" s="20"/>
      <c r="D20" s="20"/>
      <c r="E20" s="20"/>
      <c r="F20" s="20"/>
      <c r="G20" s="20"/>
      <c r="H20" s="20"/>
      <c r="I20" s="20"/>
      <c r="J20" s="20"/>
      <c r="K20" s="16"/>
      <c r="L20" s="16"/>
      <c r="M20" s="16"/>
      <c r="N20" s="16"/>
    </row>
    <row r="21" customFormat="false" ht="30" hidden="false" customHeight="true" outlineLevel="0" collapsed="false">
      <c r="B21" s="20" t="s">
        <v>67</v>
      </c>
      <c r="C21" s="20"/>
      <c r="D21" s="20"/>
      <c r="E21" s="20"/>
      <c r="F21" s="20"/>
      <c r="G21" s="20"/>
      <c r="H21" s="20"/>
      <c r="I21" s="20"/>
      <c r="J21" s="20"/>
      <c r="K21" s="21"/>
      <c r="L21" s="21"/>
      <c r="M21" s="21"/>
      <c r="N21" s="21"/>
    </row>
    <row r="22" customFormat="false" ht="75" hidden="false" customHeight="true" outlineLevel="0" collapsed="false">
      <c r="B22" s="20" t="s">
        <v>68</v>
      </c>
      <c r="C22" s="20"/>
      <c r="D22" s="20"/>
      <c r="E22" s="20"/>
      <c r="F22" s="20"/>
      <c r="G22" s="20"/>
      <c r="H22" s="20"/>
      <c r="I22" s="20"/>
      <c r="J22" s="20"/>
      <c r="K22" s="22"/>
      <c r="L22" s="22"/>
      <c r="M22" s="22"/>
      <c r="N22" s="22"/>
      <c r="O22" s="22"/>
      <c r="P22" s="22"/>
      <c r="Q22" s="22"/>
      <c r="R22" s="22"/>
    </row>
    <row r="23" customFormat="false" ht="75" hidden="false" customHeight="true" outlineLevel="0" collapsed="false">
      <c r="B23" s="20" t="s">
        <v>69</v>
      </c>
      <c r="C23" s="20"/>
      <c r="D23" s="20"/>
      <c r="E23" s="20"/>
      <c r="F23" s="20"/>
      <c r="G23" s="20"/>
      <c r="H23" s="20"/>
      <c r="I23" s="20"/>
      <c r="J23" s="20"/>
      <c r="K23" s="22"/>
      <c r="L23" s="22"/>
      <c r="M23" s="22"/>
      <c r="N23" s="22"/>
      <c r="O23" s="22"/>
      <c r="P23" s="22"/>
      <c r="Q23" s="22"/>
      <c r="R23" s="22"/>
    </row>
  </sheetData>
  <mergeCells count="16">
    <mergeCell ref="B16:J16"/>
    <mergeCell ref="K16:N16"/>
    <mergeCell ref="B17:J17"/>
    <mergeCell ref="K17:N17"/>
    <mergeCell ref="B18:J18"/>
    <mergeCell ref="K18:N18"/>
    <mergeCell ref="B19:J19"/>
    <mergeCell ref="K19:N19"/>
    <mergeCell ref="B20:J20"/>
    <mergeCell ref="K20:N20"/>
    <mergeCell ref="B21:J21"/>
    <mergeCell ref="K21:N21"/>
    <mergeCell ref="B22:J22"/>
    <mergeCell ref="K22:R22"/>
    <mergeCell ref="B23:J23"/>
    <mergeCell ref="K23:R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12" min="4" style="0" width="14"/>
  </cols>
  <sheetData>
    <row r="1" customFormat="false" ht="17.35" hidden="false" customHeight="false" outlineLevel="0" collapsed="false">
      <c r="B1" s="1" t="s">
        <v>70</v>
      </c>
    </row>
    <row r="2" customFormat="false" ht="15" hidden="false" customHeight="false" outlineLevel="0" collapsed="false">
      <c r="B2" s="2" t="s">
        <v>71</v>
      </c>
    </row>
    <row r="4" customFormat="false" ht="45" hidden="false" customHeight="true" outlineLevel="0" collapsed="false">
      <c r="B4" s="6" t="s">
        <v>72</v>
      </c>
      <c r="C4" s="6" t="s">
        <v>73</v>
      </c>
      <c r="D4" s="6" t="s">
        <v>74</v>
      </c>
      <c r="E4" s="6" t="s">
        <v>33</v>
      </c>
      <c r="F4" s="6" t="s">
        <v>34</v>
      </c>
      <c r="G4" s="6" t="s">
        <v>75</v>
      </c>
      <c r="H4" s="6" t="s">
        <v>76</v>
      </c>
      <c r="I4" s="6" t="s">
        <v>39</v>
      </c>
      <c r="J4" s="6" t="s">
        <v>77</v>
      </c>
      <c r="K4" s="6" t="s">
        <v>78</v>
      </c>
      <c r="L4" s="6" t="s">
        <v>79</v>
      </c>
    </row>
    <row r="5" customFormat="false" ht="15" hidden="false" customHeight="false" outlineLevel="0" collapsed="false">
      <c r="B5" s="7" t="s">
        <v>80</v>
      </c>
      <c r="C5" s="8" t="s">
        <v>81</v>
      </c>
      <c r="D5" s="12" t="n">
        <v>7000</v>
      </c>
      <c r="E5" s="13" t="n">
        <v>61000</v>
      </c>
      <c r="F5" s="13" t="n">
        <v>610</v>
      </c>
      <c r="G5" s="13" t="n">
        <v>50</v>
      </c>
      <c r="H5" s="13" t="n">
        <v>9</v>
      </c>
      <c r="I5" s="15" t="n">
        <f aca="false">F5/E5</f>
        <v>0.01</v>
      </c>
      <c r="J5" s="14" t="n">
        <f aca="false">D5/G5</f>
        <v>140</v>
      </c>
      <c r="K5" s="23" t="n">
        <f aca="false">H5/G5</f>
        <v>0.18</v>
      </c>
      <c r="L5" s="14" t="n">
        <f aca="false">D5/H5</f>
        <v>777.777777777778</v>
      </c>
    </row>
    <row r="6" customFormat="false" ht="15" hidden="false" customHeight="false" outlineLevel="0" collapsed="false">
      <c r="B6" s="7" t="s">
        <v>82</v>
      </c>
      <c r="C6" s="8" t="s">
        <v>83</v>
      </c>
      <c r="D6" s="12" t="n">
        <v>7000</v>
      </c>
      <c r="E6" s="13" t="n">
        <v>58000</v>
      </c>
      <c r="F6" s="13" t="n">
        <v>812</v>
      </c>
      <c r="G6" s="13" t="n">
        <v>70</v>
      </c>
      <c r="H6" s="13" t="n">
        <v>18</v>
      </c>
      <c r="I6" s="15"/>
      <c r="J6" s="14"/>
      <c r="K6" s="23"/>
      <c r="L6" s="14"/>
    </row>
    <row r="7" customFormat="false" ht="15" hidden="false" customHeight="false" outlineLevel="0" collapsed="false">
      <c r="B7" s="7" t="s">
        <v>84</v>
      </c>
      <c r="C7" s="8"/>
      <c r="D7" s="8"/>
      <c r="E7" s="8"/>
      <c r="F7" s="8"/>
      <c r="G7" s="8"/>
      <c r="H7" s="8"/>
      <c r="I7" s="23"/>
      <c r="J7" s="23"/>
      <c r="K7" s="23"/>
      <c r="L7" s="23"/>
    </row>
    <row r="8" customFormat="false" ht="15" hidden="false" customHeight="false" outlineLevel="0" collapsed="false">
      <c r="B8" s="19" t="s">
        <v>85</v>
      </c>
    </row>
    <row r="10" customFormat="false" ht="15" hidden="false" customHeight="false" outlineLevel="0" collapsed="false">
      <c r="B10" s="3" t="s">
        <v>61</v>
      </c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31.5" hidden="false" customHeight="true" outlineLevel="0" collapsed="false">
      <c r="B11" s="20" t="s">
        <v>86</v>
      </c>
      <c r="C11" s="20"/>
      <c r="D11" s="20"/>
      <c r="E11" s="20"/>
      <c r="F11" s="20"/>
      <c r="G11" s="20"/>
      <c r="H11" s="20"/>
      <c r="I11" s="10"/>
      <c r="J11" s="10"/>
    </row>
    <row r="12" customFormat="false" ht="31.5" hidden="false" customHeight="true" outlineLevel="0" collapsed="false">
      <c r="B12" s="20" t="s">
        <v>87</v>
      </c>
      <c r="C12" s="20"/>
      <c r="D12" s="20"/>
      <c r="E12" s="20"/>
      <c r="F12" s="20"/>
      <c r="G12" s="20"/>
      <c r="H12" s="20"/>
      <c r="I12" s="23"/>
      <c r="J12" s="23"/>
    </row>
    <row r="13" customFormat="false" ht="31.5" hidden="false" customHeight="true" outlineLevel="0" collapsed="false">
      <c r="B13" s="20" t="s">
        <v>88</v>
      </c>
      <c r="C13" s="20"/>
      <c r="D13" s="20"/>
      <c r="E13" s="20"/>
      <c r="F13" s="20"/>
      <c r="G13" s="20"/>
      <c r="H13" s="20"/>
      <c r="I13" s="21"/>
      <c r="J13" s="21"/>
    </row>
    <row r="14" customFormat="false" ht="79.5" hidden="false" customHeight="true" outlineLevel="0" collapsed="false">
      <c r="B14" s="20" t="s">
        <v>89</v>
      </c>
      <c r="C14" s="20"/>
      <c r="D14" s="20"/>
      <c r="E14" s="20"/>
      <c r="F14" s="20"/>
      <c r="G14" s="20"/>
      <c r="H14" s="20"/>
      <c r="I14" s="22"/>
      <c r="J14" s="22"/>
      <c r="K14" s="22"/>
      <c r="L14" s="22"/>
    </row>
  </sheetData>
  <mergeCells count="8">
    <mergeCell ref="B11:H11"/>
    <mergeCell ref="I11:J11"/>
    <mergeCell ref="B12:H12"/>
    <mergeCell ref="I12:J12"/>
    <mergeCell ref="B13:H13"/>
    <mergeCell ref="I13:J13"/>
    <mergeCell ref="B14:H14"/>
    <mergeCell ref="I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4" min="3" style="0" width="13"/>
    <col collapsed="false" customWidth="true" hidden="false" outlineLevel="0" max="15" min="15" style="0" width="30"/>
  </cols>
  <sheetData>
    <row r="1" customFormat="false" ht="17.35" hidden="false" customHeight="false" outlineLevel="0" collapsed="false">
      <c r="B1" s="1" t="s">
        <v>90</v>
      </c>
    </row>
    <row r="2" customFormat="false" ht="15" hidden="false" customHeight="false" outlineLevel="0" collapsed="false">
      <c r="B2" s="2" t="s">
        <v>91</v>
      </c>
    </row>
    <row r="4" customFormat="false" ht="15" hidden="false" customHeight="false" outlineLevel="0" collapsed="false">
      <c r="B4" s="7" t="s">
        <v>92</v>
      </c>
      <c r="C4" s="12" t="n">
        <v>40000</v>
      </c>
    </row>
    <row r="5" customFormat="false" ht="15" hidden="false" customHeight="false" outlineLevel="0" collapsed="false">
      <c r="B5" s="7" t="s">
        <v>93</v>
      </c>
      <c r="C5" s="12" t="n">
        <v>1800</v>
      </c>
    </row>
    <row r="7" customFormat="false" ht="57.75" hidden="false" customHeight="true" outlineLevel="0" collapsed="false">
      <c r="B7" s="6" t="s">
        <v>94</v>
      </c>
      <c r="C7" s="6" t="s">
        <v>95</v>
      </c>
      <c r="D7" s="6" t="s">
        <v>96</v>
      </c>
      <c r="E7" s="6" t="s">
        <v>38</v>
      </c>
      <c r="F7" s="6" t="s">
        <v>39</v>
      </c>
      <c r="G7" s="6" t="s">
        <v>97</v>
      </c>
      <c r="H7" s="6" t="s">
        <v>98</v>
      </c>
      <c r="I7" s="6" t="s">
        <v>33</v>
      </c>
      <c r="J7" s="6" t="s">
        <v>34</v>
      </c>
      <c r="K7" s="6" t="s">
        <v>36</v>
      </c>
      <c r="L7" s="6" t="s">
        <v>99</v>
      </c>
      <c r="M7" s="6" t="s">
        <v>44</v>
      </c>
      <c r="N7" s="6" t="s">
        <v>100</v>
      </c>
      <c r="O7" s="6" t="s">
        <v>101</v>
      </c>
    </row>
    <row r="8" customFormat="false" ht="15" hidden="false" customHeight="false" outlineLevel="0" collapsed="false">
      <c r="B8" s="7" t="s">
        <v>102</v>
      </c>
      <c r="C8" s="13" t="n">
        <v>420000</v>
      </c>
      <c r="D8" s="24" t="n">
        <v>0.45</v>
      </c>
      <c r="E8" s="12" t="n">
        <v>140</v>
      </c>
      <c r="F8" s="25" t="n">
        <v>0.012</v>
      </c>
      <c r="G8" s="25" t="n">
        <v>0.025</v>
      </c>
      <c r="H8" s="26" t="n">
        <f aca="false">$C$4*D8</f>
        <v>18000</v>
      </c>
      <c r="I8" s="27" t="n">
        <f aca="false">H8/E8*1000</f>
        <v>128571.428571429</v>
      </c>
      <c r="J8" s="27" t="n">
        <f aca="false">I8*F8</f>
        <v>1542.85714285714</v>
      </c>
      <c r="K8" s="28" t="n">
        <f aca="false">J8*G8</f>
        <v>38.5714285714286</v>
      </c>
      <c r="L8" s="26" t="n">
        <f aca="false">K8*$C$5</f>
        <v>69428.5714285714</v>
      </c>
      <c r="M8" s="16" t="n">
        <f aca="false">L8/H8</f>
        <v>3.85714285714286</v>
      </c>
      <c r="N8" s="29" t="n">
        <f aca="false">I8/C8</f>
        <v>0.306122448979592</v>
      </c>
      <c r="O8" s="10" t="str">
        <f aca="false">IF(N8&gt;8,"Too high: add creatives or cut budget","OK")</f>
        <v>OK</v>
      </c>
    </row>
    <row r="9" customFormat="false" ht="15" hidden="false" customHeight="false" outlineLevel="0" collapsed="false">
      <c r="B9" s="7" t="s">
        <v>103</v>
      </c>
      <c r="C9" s="13" t="n">
        <v>26000</v>
      </c>
      <c r="D9" s="24" t="n">
        <v>0.2</v>
      </c>
      <c r="E9" s="12" t="n">
        <v>170</v>
      </c>
      <c r="F9" s="25" t="n">
        <v>0.013</v>
      </c>
      <c r="G9" s="25" t="n">
        <v>0.03</v>
      </c>
      <c r="H9" s="26"/>
      <c r="I9" s="27"/>
      <c r="J9" s="27"/>
      <c r="K9" s="28"/>
      <c r="L9" s="26"/>
      <c r="M9" s="16"/>
      <c r="N9" s="29"/>
      <c r="O9" s="10"/>
    </row>
    <row r="10" customFormat="false" ht="15" hidden="false" customHeight="false" outlineLevel="0" collapsed="false">
      <c r="B10" s="7" t="s">
        <v>104</v>
      </c>
      <c r="C10" s="13" t="n">
        <v>95000</v>
      </c>
      <c r="D10" s="24" t="n">
        <v>0.2</v>
      </c>
      <c r="E10" s="12" t="n">
        <v>150</v>
      </c>
      <c r="F10" s="25" t="n">
        <v>0.015</v>
      </c>
      <c r="G10" s="25" t="n">
        <v>0.03</v>
      </c>
      <c r="H10" s="26"/>
      <c r="I10" s="27"/>
      <c r="J10" s="27"/>
      <c r="K10" s="28"/>
      <c r="L10" s="26"/>
      <c r="M10" s="16"/>
      <c r="N10" s="29"/>
      <c r="O10" s="10"/>
    </row>
    <row r="11" customFormat="false" ht="15" hidden="false" customHeight="false" outlineLevel="0" collapsed="false">
      <c r="B11" s="7" t="s">
        <v>105</v>
      </c>
      <c r="C11" s="13" t="n">
        <v>1800</v>
      </c>
      <c r="D11" s="24" t="n">
        <v>0.1</v>
      </c>
      <c r="E11" s="12" t="n">
        <v>260</v>
      </c>
      <c r="F11" s="25" t="n">
        <v>0.02</v>
      </c>
      <c r="G11" s="25" t="n">
        <v>0.06</v>
      </c>
      <c r="H11" s="26"/>
      <c r="I11" s="27"/>
      <c r="J11" s="27"/>
      <c r="K11" s="28"/>
      <c r="L11" s="26"/>
      <c r="M11" s="16"/>
      <c r="N11" s="29"/>
      <c r="O11" s="10"/>
    </row>
    <row r="12" customFormat="false" ht="15" hidden="false" customHeight="false" outlineLevel="0" collapsed="false">
      <c r="B12" s="7" t="s">
        <v>106</v>
      </c>
      <c r="C12" s="13" t="n">
        <v>700</v>
      </c>
      <c r="D12" s="24" t="n">
        <v>0.05</v>
      </c>
      <c r="E12" s="12" t="n">
        <v>300</v>
      </c>
      <c r="F12" s="25" t="n">
        <v>0.018</v>
      </c>
      <c r="G12" s="25" t="n">
        <v>0.08</v>
      </c>
      <c r="H12" s="26"/>
      <c r="I12" s="27"/>
      <c r="J12" s="27"/>
      <c r="K12" s="28"/>
      <c r="L12" s="26"/>
      <c r="M12" s="16"/>
      <c r="N12" s="29"/>
      <c r="O12" s="10"/>
    </row>
    <row r="13" customFormat="false" ht="15" hidden="false" customHeight="false" outlineLevel="0" collapsed="false">
      <c r="B13" s="7" t="s">
        <v>21</v>
      </c>
      <c r="C13" s="8"/>
      <c r="D13" s="30"/>
      <c r="E13" s="8"/>
      <c r="F13" s="8"/>
      <c r="G13" s="8"/>
      <c r="H13" s="26"/>
      <c r="I13" s="27"/>
      <c r="J13" s="27"/>
      <c r="K13" s="28"/>
      <c r="L13" s="26"/>
      <c r="M13" s="16"/>
    </row>
    <row r="14" customFormat="false" ht="15" hidden="false" customHeight="false" outlineLevel="0" collapsed="false">
      <c r="B14" s="19" t="s">
        <v>107</v>
      </c>
    </row>
    <row r="16" customFormat="false" ht="15" hidden="false" customHeight="false" outlineLevel="0" collapsed="false">
      <c r="B16" s="3" t="s">
        <v>61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customFormat="false" ht="30" hidden="false" customHeight="true" outlineLevel="0" collapsed="false">
      <c r="B17" s="20" t="s">
        <v>108</v>
      </c>
      <c r="C17" s="20"/>
      <c r="D17" s="20"/>
      <c r="E17" s="20"/>
      <c r="F17" s="20"/>
      <c r="G17" s="20"/>
      <c r="H17" s="20"/>
      <c r="I17" s="10"/>
      <c r="J17" s="10"/>
    </row>
    <row r="18" customFormat="false" ht="30" hidden="false" customHeight="true" outlineLevel="0" collapsed="false">
      <c r="B18" s="20" t="s">
        <v>109</v>
      </c>
      <c r="C18" s="20"/>
      <c r="D18" s="20"/>
      <c r="E18" s="20"/>
      <c r="F18" s="20"/>
      <c r="G18" s="20"/>
      <c r="H18" s="20"/>
      <c r="I18" s="27"/>
      <c r="J18" s="27"/>
    </row>
    <row r="19" customFormat="false" ht="30" hidden="false" customHeight="true" outlineLevel="0" collapsed="false">
      <c r="B19" s="20" t="s">
        <v>110</v>
      </c>
      <c r="C19" s="20"/>
      <c r="D19" s="20"/>
      <c r="E19" s="20"/>
      <c r="F19" s="20"/>
      <c r="G19" s="20"/>
      <c r="H19" s="20"/>
      <c r="I19" s="16"/>
      <c r="J19" s="16"/>
    </row>
    <row r="20" customFormat="false" ht="30" hidden="false" customHeight="true" outlineLevel="0" collapsed="false">
      <c r="B20" s="20" t="s">
        <v>111</v>
      </c>
      <c r="C20" s="20"/>
      <c r="D20" s="20"/>
      <c r="E20" s="20"/>
      <c r="F20" s="20"/>
      <c r="G20" s="20"/>
      <c r="H20" s="20"/>
      <c r="I20" s="21"/>
      <c r="J20" s="21"/>
    </row>
    <row r="21" customFormat="false" ht="30" hidden="false" customHeight="true" outlineLevel="0" collapsed="false">
      <c r="B21" s="20" t="s">
        <v>112</v>
      </c>
      <c r="C21" s="20"/>
      <c r="D21" s="20"/>
      <c r="E21" s="20"/>
      <c r="F21" s="20"/>
      <c r="G21" s="20"/>
      <c r="H21" s="20"/>
      <c r="I21" s="26"/>
      <c r="J21" s="26"/>
    </row>
    <row r="22" customFormat="false" ht="69.75" hidden="false" customHeight="true" outlineLevel="0" collapsed="false">
      <c r="B22" s="20" t="s">
        <v>113</v>
      </c>
      <c r="C22" s="20"/>
      <c r="D22" s="20"/>
      <c r="E22" s="20"/>
      <c r="F22" s="20"/>
      <c r="G22" s="20"/>
      <c r="H22" s="20"/>
      <c r="I22" s="22"/>
      <c r="J22" s="22"/>
      <c r="K22" s="22"/>
      <c r="L22" s="22"/>
      <c r="M22" s="22"/>
      <c r="N22" s="22"/>
      <c r="O22" s="22"/>
    </row>
  </sheetData>
  <mergeCells count="12">
    <mergeCell ref="B17:H17"/>
    <mergeCell ref="I17:J17"/>
    <mergeCell ref="B18:H18"/>
    <mergeCell ref="I18:J18"/>
    <mergeCell ref="B19:H19"/>
    <mergeCell ref="I19:J19"/>
    <mergeCell ref="B20:H20"/>
    <mergeCell ref="I20:J20"/>
    <mergeCell ref="B21:H21"/>
    <mergeCell ref="I21:J21"/>
    <mergeCell ref="B22:H22"/>
    <mergeCell ref="I22:O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5" min="3" style="0" width="38"/>
  </cols>
  <sheetData>
    <row r="1" customFormat="false" ht="17.35" hidden="false" customHeight="false" outlineLevel="0" collapsed="false">
      <c r="B1" s="1" t="s">
        <v>114</v>
      </c>
    </row>
    <row r="2" customFormat="false" ht="15" hidden="false" customHeight="false" outlineLevel="0" collapsed="false">
      <c r="B2" s="2" t="s">
        <v>115</v>
      </c>
    </row>
    <row r="4" customFormat="false" ht="15" hidden="false" customHeight="false" outlineLevel="0" collapsed="false">
      <c r="B4" s="6" t="s">
        <v>116</v>
      </c>
      <c r="C4" s="6" t="s">
        <v>117</v>
      </c>
      <c r="D4" s="6" t="s">
        <v>118</v>
      </c>
      <c r="E4" s="6" t="s">
        <v>119</v>
      </c>
    </row>
    <row r="5" customFormat="false" ht="48" hidden="false" customHeight="true" outlineLevel="0" collapsed="false">
      <c r="B5" s="31" t="s">
        <v>120</v>
      </c>
      <c r="C5" s="22"/>
      <c r="D5" s="22"/>
      <c r="E5" s="22"/>
    </row>
    <row r="6" customFormat="false" ht="48" hidden="false" customHeight="true" outlineLevel="0" collapsed="false">
      <c r="B6" s="31" t="s">
        <v>121</v>
      </c>
      <c r="C6" s="22"/>
      <c r="D6" s="22"/>
      <c r="E6" s="22"/>
    </row>
    <row r="7" customFormat="false" ht="48" hidden="false" customHeight="true" outlineLevel="0" collapsed="false">
      <c r="B7" s="31" t="s">
        <v>122</v>
      </c>
      <c r="C7" s="22"/>
      <c r="D7" s="22"/>
      <c r="E7" s="22"/>
    </row>
    <row r="8" customFormat="false" ht="48" hidden="false" customHeight="true" outlineLevel="0" collapsed="false">
      <c r="B8" s="31" t="s">
        <v>123</v>
      </c>
      <c r="C8" s="22"/>
      <c r="D8" s="22"/>
      <c r="E8" s="22"/>
    </row>
    <row r="9" customFormat="false" ht="48" hidden="false" customHeight="true" outlineLevel="0" collapsed="false">
      <c r="B9" s="31" t="s">
        <v>124</v>
      </c>
      <c r="C9" s="22"/>
      <c r="D9" s="22"/>
      <c r="E9" s="22"/>
    </row>
    <row r="10" customFormat="false" ht="48" hidden="false" customHeight="true" outlineLevel="0" collapsed="false">
      <c r="B10" s="31" t="s">
        <v>125</v>
      </c>
      <c r="C10" s="22"/>
      <c r="D10" s="22"/>
      <c r="E10" s="22"/>
    </row>
    <row r="11" customFormat="false" ht="48" hidden="false" customHeight="true" outlineLevel="0" collapsed="false">
      <c r="B11" s="31" t="s">
        <v>126</v>
      </c>
      <c r="C11" s="22"/>
      <c r="D11" s="22"/>
      <c r="E11" s="22"/>
    </row>
    <row r="12" customFormat="false" ht="48" hidden="false" customHeight="true" outlineLevel="0" collapsed="false">
      <c r="B12" s="31" t="s">
        <v>127</v>
      </c>
      <c r="C12" s="22"/>
      <c r="D12" s="22"/>
      <c r="E12" s="22"/>
    </row>
    <row r="13" customFormat="false" ht="48" hidden="false" customHeight="true" outlineLevel="0" collapsed="false">
      <c r="B13" s="31" t="s">
        <v>128</v>
      </c>
      <c r="C13" s="22"/>
      <c r="D13" s="22"/>
      <c r="E13" s="22"/>
    </row>
    <row r="14" customFormat="false" ht="48" hidden="false" customHeight="true" outlineLevel="0" collapsed="false">
      <c r="B14" s="31" t="s">
        <v>129</v>
      </c>
      <c r="C14" s="22"/>
      <c r="D14" s="22"/>
      <c r="E14" s="22"/>
    </row>
    <row r="16" customFormat="false" ht="15" hidden="false" customHeight="false" outlineLevel="0" collapsed="false">
      <c r="B16" s="19" t="s">
        <v>130</v>
      </c>
    </row>
    <row r="18" customFormat="false" ht="15" hidden="false" customHeight="false" outlineLevel="0" collapsed="false">
      <c r="B18" s="3" t="s">
        <v>131</v>
      </c>
      <c r="C18" s="4"/>
      <c r="D18" s="4"/>
      <c r="E18" s="4"/>
    </row>
    <row r="19" customFormat="false" ht="31.5" hidden="false" customHeight="true" outlineLevel="0" collapsed="false">
      <c r="B19" s="7" t="s">
        <v>132</v>
      </c>
      <c r="C19" s="22"/>
      <c r="D19" s="22"/>
      <c r="E19" s="22"/>
    </row>
    <row r="20" customFormat="false" ht="31.5" hidden="false" customHeight="true" outlineLevel="0" collapsed="false">
      <c r="B20" s="7" t="s">
        <v>133</v>
      </c>
      <c r="C20" s="22"/>
      <c r="D20" s="22"/>
      <c r="E20" s="22"/>
    </row>
    <row r="21" customFormat="false" ht="31.5" hidden="false" customHeight="true" outlineLevel="0" collapsed="false">
      <c r="B21" s="7" t="s">
        <v>134</v>
      </c>
      <c r="C21" s="22"/>
      <c r="D21" s="22"/>
      <c r="E21" s="22"/>
    </row>
    <row r="22" customFormat="false" ht="31.5" hidden="false" customHeight="true" outlineLevel="0" collapsed="false">
      <c r="B22" s="7" t="s">
        <v>135</v>
      </c>
      <c r="C22" s="22"/>
      <c r="D22" s="22"/>
      <c r="E22" s="22"/>
    </row>
  </sheetData>
  <mergeCells count="4">
    <mergeCell ref="C19:E19"/>
    <mergeCell ref="C20:E20"/>
    <mergeCell ref="C21:E21"/>
    <mergeCell ref="C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2026-10-10T18:52:44Z</dcterms:created>
  <dc:creator>openpyxl</dc:creator>
  <dc:description/>
  <dc:language>en-US</dc:language>
  <cp:lastModifiedBy/>
  <dcterms:modified xsi:type="dcterms:W3CDTF">2026-10-10T18:52:44Z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