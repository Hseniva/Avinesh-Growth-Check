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1_Keywords" sheetId="2" state="visible" r:id="rId4"/>
    <sheet name="2_Budget" sheetId="3" state="visible" r:id="rId5"/>
    <sheet name="3_RSA" sheetId="4" state="visible" r:id="rId6"/>
    <sheet name="4_Search_Term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<sst xmlns="http://schemas.openxmlformats.org/spreadsheetml/2006/main" count="329" uniqueCount="212">
  <si>
    <t xml:space="preserve">Week 6 Excel exercise: Google Ads Search Fundamentals</t>
  </si>
  <si>
    <t xml:space="preserve">Dodo Drive Car Rental, Plaine Magnien, Mauritius (fictional business and illustrative data). Digital Marketing &amp; AI, Oreegami Mauritius</t>
  </si>
  <si>
    <t xml:space="preserve">The business</t>
  </si>
  <si>
    <t xml:space="preserve">Dodo Drive rents 35 cars five minutes from SSR International Airport. It is building its first Expert Mode Search campaign with 3 ad groups:</t>
  </si>
  <si>
    <t xml:space="preserve">Airport car hire · Cheap car rental · SUV &amp; 7-seater. You are the freelance marketer preparing the campaign and its first month review.</t>
  </si>
  <si>
    <t xml:space="preserve">How to complete it</t>
  </si>
  <si>
    <t xml:space="preserve">1. Work through the 4 tabs in order. Each tab starts with a short brief. The guide sections to read are given in each tab.</t>
  </si>
  <si>
    <t xml:space="preserve">2. Type your answers in the YELLOW cells only. Do not change the data cells.</t>
  </si>
  <si>
    <t xml:space="preserve">3. Use Excel formulas wherever you calculate something (e.g. =D8/C8). Your trainer checks the formulas, not just the numbers.</t>
  </si>
  <si>
    <t xml:space="preserve">4. The first row of each calculation table is done for you as a worked example: copy its logic down.</t>
  </si>
  <si>
    <t xml:space="preserve">5. Save the file as Week6_YourName.xlsx and upload it on the platform. You will receive personalised feedback by email.</t>
  </si>
  <si>
    <t xml:space="preserve">Scoring (out of 20)</t>
  </si>
  <si>
    <t xml:space="preserve">Tab</t>
  </si>
  <si>
    <t xml:space="preserve">What you practise</t>
  </si>
  <si>
    <t xml:space="preserve">Points</t>
  </si>
  <si>
    <t xml:space="preserve">1_Keywords</t>
  </si>
  <si>
    <t xml:space="preserve">Grouping keywords into 3 ad groups, match types and negative keywords (guide Sections 14–17)</t>
  </si>
  <si>
    <t xml:space="preserve">2_Budget</t>
  </si>
  <si>
    <t xml:space="preserve">Budget maths: clicks, monthly and daily budget, CPA, ROAS, break-even CPA (Section 24)</t>
  </si>
  <si>
    <t xml:space="preserve">3_RSA</t>
  </si>
  <si>
    <t xml:space="preserve">Responsive search ad limits with LEN() checks, rewriting text that is too long (Sections 18–19)</t>
  </si>
  <si>
    <t xml:space="preserve">4_Search_Terms</t>
  </si>
  <si>
    <t xml:space="preserve">Search terms report: CTR, CPC, CVR, CPA, keyword vs negative decisions, SUMIFS (Sections 16 and 27)</t>
  </si>
  <si>
    <t xml:space="preserve">Total</t>
  </si>
  <si>
    <t xml:space="preserve">Legend:</t>
  </si>
  <si>
    <t xml:space="preserve">Yellow cell = your answer</t>
  </si>
  <si>
    <t xml:space="preserve">Blue header = data</t>
  </si>
  <si>
    <t xml:space="preserve">Abbreviations: CTR = click-through rate, CPC = cost per click, CVR = conversion rate, CPA = cost per acquisition (booking), ROAS = return on ad spend.</t>
  </si>
  <si>
    <t xml:space="preserve">Tab 1: Group the keywords into 3 ad groups</t>
  </si>
  <si>
    <t xml:space="preserve">Keyword Planner export (location Mauritius + France + UK, English and French). Searches and bids are illustrative.</t>
  </si>
  <si>
    <t xml:space="preserve">Your task</t>
  </si>
  <si>
    <t xml:space="preserve">For each keyword choose the ad group (or "Negative" if Dodo Drive should NOT show for it) and a match type (Exact, Phrase, Broad; use "–" for negatives). Row 9 is a worked example.</t>
  </si>
  <si>
    <t xml:space="preserve">#</t>
  </si>
  <si>
    <t xml:space="preserve">Keyword</t>
  </si>
  <si>
    <t xml:space="preserve">Avg. monthly searches</t>
  </si>
  <si>
    <t xml:space="preserve">Top-of-page bid low (Rs)</t>
  </si>
  <si>
    <t xml:space="preserve">Top-of-page bid high (Rs)</t>
  </si>
  <si>
    <t xml:space="preserve">Ad group</t>
  </si>
  <si>
    <t xml:space="preserve">Match type</t>
  </si>
  <si>
    <t xml:space="preserve">Short reason (optional)</t>
  </si>
  <si>
    <t xml:space="preserve">car rental mauritius airport</t>
  </si>
  <si>
    <t xml:space="preserve">Airport car hire</t>
  </si>
  <si>
    <t xml:space="preserve">Phrase</t>
  </si>
  <si>
    <t xml:space="preserve">Airport + rental intent, high volume</t>
  </si>
  <si>
    <t xml:space="preserve">cheap car rental mauritius</t>
  </si>
  <si>
    <t xml:space="preserve">car hire ssr airport</t>
  </si>
  <si>
    <t xml:space="preserve">suv rental mauritius</t>
  </si>
  <si>
    <t xml:space="preserve">used cars for sale mauritius</t>
  </si>
  <si>
    <t xml:space="preserve">location voiture aéroport maurice</t>
  </si>
  <si>
    <t xml:space="preserve">budget car hire mauritius</t>
  </si>
  <si>
    <t xml:space="preserve">7 seater car hire mauritius</t>
  </si>
  <si>
    <t xml:space="preserve">car rental jobs mauritius</t>
  </si>
  <si>
    <t xml:space="preserve">airport car rental pick up mauritius</t>
  </si>
  <si>
    <t xml:space="preserve">location voiture pas cher ile maurice</t>
  </si>
  <si>
    <t xml:space="preserve">family car rental mauritius</t>
  </si>
  <si>
    <t xml:space="preserve">driving school mauritius</t>
  </si>
  <si>
    <t xml:space="preserve">rent a car at mauritius airport</t>
  </si>
  <si>
    <t xml:space="preserve">car rental prices mauritius</t>
  </si>
  <si>
    <t xml:space="preserve">location 4x4 maurice</t>
  </si>
  <si>
    <t xml:space="preserve">car loan mauritius</t>
  </si>
  <si>
    <t xml:space="preserve">mauritius airport car hire automatic</t>
  </si>
  <si>
    <t xml:space="preserve">cheapest car hire mauritius weekly</t>
  </si>
  <si>
    <t xml:space="preserve">minivan rental mauritius</t>
  </si>
  <si>
    <t xml:space="preserve">how to drive in mauritius</t>
  </si>
  <si>
    <t xml:space="preserve">location voiture aéroport plaisance</t>
  </si>
  <si>
    <t xml:space="preserve">long term car rental mauritius</t>
  </si>
  <si>
    <t xml:space="preserve">7 places location voiture maurice</t>
  </si>
  <si>
    <t xml:space="preserve">free car rental</t>
  </si>
  <si>
    <t xml:space="preserve">car rental mauritius airport delivery</t>
  </si>
  <si>
    <t xml:space="preserve">affordable car rental mauritius</t>
  </si>
  <si>
    <t xml:space="preserve">suv hire mauritius airport</t>
  </si>
  <si>
    <t xml:space="preserve">car rental sir seewoosagur ramgoolam airport</t>
  </si>
  <si>
    <t xml:space="preserve">voiture de location pas chère maurice</t>
  </si>
  <si>
    <t xml:space="preserve">Summary by ad group (use COUNTIF, SUMIF and AVERAGEIF on your column G). Row 42 is a worked example.</t>
  </si>
  <si>
    <t xml:space="preserve">Number of keywords</t>
  </si>
  <si>
    <t xml:space="preserve">Total monthly searches</t>
  </si>
  <si>
    <t xml:space="preserve">Average top-of-page bid high (Rs)</t>
  </si>
  <si>
    <t xml:space="preserve">Cheap car rental</t>
  </si>
  <si>
    <t xml:space="preserve">SUV &amp; 7-seater</t>
  </si>
  <si>
    <t xml:space="preserve">Negative</t>
  </si>
  <si>
    <t xml:space="preserve">Questions</t>
  </si>
  <si>
    <t xml:space="preserve">Q1. Which ad group (not counting "Negative") has the highest total monthly searches?</t>
  </si>
  <si>
    <t xml:space="preserve">Q2. What share of all searches in the list comes from keywords you marked "Negative"?</t>
  </si>
  <si>
    <t xml:space="preserve">Q3. Why must "used cars for sale mauritius" never be a keyword, even though it has the most searches? (1–2 sentences)</t>
  </si>
  <si>
    <t xml:space="preserve">Q4. List 5 more negative keywords for Dodo Drive (not already in the list), in English and French, and say at which level you would add them.</t>
  </si>
  <si>
    <t xml:space="preserve">Q5. Which match type did you choose for most keywords and why? When would you test broad match? (2–3 sentences)</t>
  </si>
  <si>
    <t xml:space="preserve">Tab 2: From booking target to daily budget</t>
  </si>
  <si>
    <t xml:space="preserve">The owner wants 48 online bookings a month. CVR and CPC come from Keyword Planner and a 2-week test (illustrative). Guide Section 24.</t>
  </si>
  <si>
    <t xml:space="preserve">Target bookings / month</t>
  </si>
  <si>
    <t xml:space="preserve">Conversion rate (CVR)</t>
  </si>
  <si>
    <t xml:space="preserve">Average CPC (Rs)</t>
  </si>
  <si>
    <t xml:space="preserve">Average booking value (Rs)</t>
  </si>
  <si>
    <t xml:space="preserve">Clicks needed</t>
  </si>
  <si>
    <t xml:space="preserve">Monthly budget (Rs)</t>
  </si>
  <si>
    <t xml:space="preserve">Daily budget (Rs)</t>
  </si>
  <si>
    <t xml:space="preserve">CPA (Rs)</t>
  </si>
  <si>
    <t xml:space="preserve">Revenue (Rs)</t>
  </si>
  <si>
    <t xml:space="preserve">ROAS</t>
  </si>
  <si>
    <t xml:space="preserve">Row 5 is done for you. Copy the formulas to rows 6–7, then fill the Total row (sums, except CPA = budget ÷ bookings and ROAS = revenue ÷ budget).</t>
  </si>
  <si>
    <t xml:space="preserve">Daily budget = monthly budget ÷ 30.4 (Google never charges more than 30.4 × the average daily budget in a month).</t>
  </si>
  <si>
    <t xml:space="preserve">Q1. Total monthly budget needed (Rs)</t>
  </si>
  <si>
    <t xml:space="preserve">Q2. Average daily budget to enter in Google Ads for one campaign with the 3 ad groups (Rs)</t>
  </si>
  <si>
    <t xml:space="preserve">Q3. Blended CPA for the whole campaign (Rs)</t>
  </si>
  <si>
    <t xml:space="preserve">Q4. Which ad group has the highest CPA?</t>
  </si>
  <si>
    <t xml:space="preserve">Q5. Which ad group has the highest ROAS?</t>
  </si>
  <si>
    <t xml:space="preserve">Q6. Dodo Drive’s profit margin is 30% of the booking value. What is the break-even CPA for an Airport booking (Rs)?</t>
  </si>
  <si>
    <t xml:space="preserve">Q7. The owner can only spend Rs 9,000 a month. With the campaign’s average CPC and CVR (Total row), how many bookings can he expect? (round to whole bookings)</t>
  </si>
  <si>
    <t xml:space="preserve">Q8. With only Rs 9,000, would you spread it across the 3 ad groups or focus it? Which one first and why? (2–3 sentences)</t>
  </si>
  <si>
    <t xml:space="preserve">Tab 3: Responsive search ad within the limits</t>
  </si>
  <si>
    <t xml:space="preserve">Limits: headline 30 characters, description 90, path 15 (spaces and punctuation count). Guide Sections 18–19.</t>
  </si>
  <si>
    <t xml:space="preserve">Part A: check the draft texts written by the owner (row 7 is a worked example)</t>
  </si>
  <si>
    <t xml:space="preserve">Type</t>
  </si>
  <si>
    <t xml:space="preserve">Draft text</t>
  </si>
  <si>
    <t xml:space="preserve">Length =LEN()</t>
  </si>
  <si>
    <t xml:space="preserve">Limit (30/90/15)</t>
  </si>
  <si>
    <t xml:space="preserve">Status: OK or TOO LONG</t>
  </si>
  <si>
    <t xml:space="preserve">Your rewrite (only if TOO LONG)</t>
  </si>
  <si>
    <t xml:space="preserve">Length of rewrite</t>
  </si>
  <si>
    <t xml:space="preserve">Headline</t>
  </si>
  <si>
    <t xml:space="preserve">Car Rental at SSR Airport</t>
  </si>
  <si>
    <t xml:space="preserve">Cheapest Car Rental in the Whole of Mauritius</t>
  </si>
  <si>
    <t xml:space="preserve">Free Delivery to the Airport</t>
  </si>
  <si>
    <t xml:space="preserve">Automatic Cars From Rs 1,600 per Day</t>
  </si>
  <si>
    <t xml:space="preserve">Family 7-Seaters &amp; SUVs Available</t>
  </si>
  <si>
    <t xml:space="preserve">Book Online in 2 Minutes</t>
  </si>
  <si>
    <t xml:space="preserve">Description</t>
  </si>
  <si>
    <t xml:space="preserve">Free airport delivery and pick-up. Automatic cars, full insurance, 24/7 help. Book today.</t>
  </si>
  <si>
    <t xml:space="preserve">Land in Mauritius and drive away straight away: your rental car is waiting for you right outside arrivals at SSR.</t>
  </si>
  <si>
    <t xml:space="preserve">Path</t>
  </si>
  <si>
    <t xml:space="preserve">airport-car-rental</t>
  </si>
  <si>
    <t xml:space="preserve">Automatic</t>
  </si>
  <si>
    <t xml:space="preserve">Q1. How many draft texts are TOO LONG? (use COUNTIF)</t>
  </si>
  <si>
    <t xml:space="preserve">Part B: write your own RSA for the "Airport car hire" ad group (length and status are calculated for you)</t>
  </si>
  <si>
    <t xml:space="preserve">Your text</t>
  </si>
  <si>
    <t xml:space="preserve">Length</t>
  </si>
  <si>
    <t xml:space="preserve">Limit</t>
  </si>
  <si>
    <t xml:space="preserve">Status</t>
  </si>
  <si>
    <t xml:space="preserve">Q2. How many of your Part B texts are OK? (use COUNTIF; target 15)</t>
  </si>
  <si>
    <t xml:space="preserve">Q3. Which of your headlines would you pin, if any, and why? (1–2 sentences)</t>
  </si>
  <si>
    <t xml:space="preserve">Good RSA mix: 3–4 keyword headlines, 3 benefits, 2 offers/prices, 2 proof, 2 calls to action; one idea per headline; every claim true on the landing page.</t>
  </si>
  <si>
    <t xml:space="preserve">Tab 4: Search terms report, first month (1–30 September 2026)</t>
  </si>
  <si>
    <t xml:space="preserve">Exported from Campaigns › Insights and reports › Search terms (illustrative). Bookings = primary conversion. Guide Sections 16 and 27.</t>
  </si>
  <si>
    <t xml:space="preserve">Search term</t>
  </si>
  <si>
    <t xml:space="preserve">Matched keyword</t>
  </si>
  <si>
    <t xml:space="preserve">Impr.</t>
  </si>
  <si>
    <t xml:space="preserve">Clicks</t>
  </si>
  <si>
    <t xml:space="preserve">Cost (Rs)</t>
  </si>
  <si>
    <t xml:space="preserve">Bookings</t>
  </si>
  <si>
    <t xml:space="preserve">CTR</t>
  </si>
  <si>
    <t xml:space="preserve">Avg. CPC (Rs)</t>
  </si>
  <si>
    <t xml:space="preserve">CVR</t>
  </si>
  <si>
    <t xml:space="preserve">Action</t>
  </si>
  <si>
    <t xml:space="preserve">"car rental mauritius airport"</t>
  </si>
  <si>
    <t xml:space="preserve">Add as keyword</t>
  </si>
  <si>
    <t xml:space="preserve">[car hire ssr airport]</t>
  </si>
  <si>
    <t xml:space="preserve">Exact</t>
  </si>
  <si>
    <t xml:space="preserve">car rental mauritius airport automatic</t>
  </si>
  <si>
    <t xml:space="preserve">"car rental mauritius"</t>
  </si>
  <si>
    <t xml:space="preserve">"cheap car rental mauritius"</t>
  </si>
  <si>
    <t xml:space="preserve">used car for sale mauritius</t>
  </si>
  <si>
    <t xml:space="preserve">car rental mauritius</t>
  </si>
  <si>
    <t xml:space="preserve">Broad</t>
  </si>
  <si>
    <t xml:space="preserve">location voiture aeroport maurice</t>
  </si>
  <si>
    <t xml:space="preserve">"location voiture aéroport maurice"</t>
  </si>
  <si>
    <t xml:space="preserve">"suv rental mauritius"</t>
  </si>
  <si>
    <t xml:space="preserve">car rental grand baie scooter</t>
  </si>
  <si>
    <t xml:space="preserve">[7 seater car hire mauritius]</t>
  </si>
  <si>
    <t xml:space="preserve">rent a car mauritius airport cheap</t>
  </si>
  <si>
    <t xml:space="preserve">driving licence mauritius tourist</t>
  </si>
  <si>
    <t xml:space="preserve">car rental curepipe</t>
  </si>
  <si>
    <t xml:space="preserve">free car rental mauritius</t>
  </si>
  <si>
    <t xml:space="preserve">car rental mauritius reviews</t>
  </si>
  <si>
    <t xml:space="preserve">minivan hire mauritius family</t>
  </si>
  <si>
    <t xml:space="preserve">"family car rental mauritius"</t>
  </si>
  <si>
    <t xml:space="preserve">car loan mauritius bank</t>
  </si>
  <si>
    <t xml:space="preserve">"location voiture pas cher ile maurice"</t>
  </si>
  <si>
    <t xml:space="preserve">hertz mauritius airport</t>
  </si>
  <si>
    <t xml:space="preserve">long term car rental mauritius 3 months</t>
  </si>
  <si>
    <t xml:space="preserve">"long term car rental mauritius"</t>
  </si>
  <si>
    <t xml:space="preserve">car wash mauritius</t>
  </si>
  <si>
    <t xml:space="preserve">airport car rental delivery mauritius</t>
  </si>
  <si>
    <t xml:space="preserve">"budget car hire mauritius"</t>
  </si>
  <si>
    <t xml:space="preserve">mauritius car rental age 21</t>
  </si>
  <si>
    <t xml:space="preserve">how to rent a car in mauritius</t>
  </si>
  <si>
    <t xml:space="preserve">"location 4x4 maurice"</t>
  </si>
  <si>
    <t xml:space="preserve">car rental mauritius second hand</t>
  </si>
  <si>
    <t xml:space="preserve">van hire for moving house mauritius</t>
  </si>
  <si>
    <t xml:space="preserve">van hire mauritius</t>
  </si>
  <si>
    <t xml:space="preserve">car hire sir seewoosagur ramgoolam airport</t>
  </si>
  <si>
    <t xml:space="preserve">[car rental sir seewoosagur ramgoolam airport]</t>
  </si>
  <si>
    <t xml:space="preserve">dodo drive car rental</t>
  </si>
  <si>
    <t xml:space="preserve">emploi chauffeur location voiture</t>
  </si>
  <si>
    <t xml:space="preserve">"location voiture maurice"</t>
  </si>
  <si>
    <t xml:space="preserve">car rental mauritius 7 seater price</t>
  </si>
  <si>
    <t xml:space="preserve">mauritius taxi airport to grand baie</t>
  </si>
  <si>
    <t xml:space="preserve">car rental flic en flac</t>
  </si>
  <si>
    <t xml:space="preserve">cheap car rental mauritius weekly</t>
  </si>
  <si>
    <t xml:space="preserve">car insurance mauritius</t>
  </si>
  <si>
    <t xml:space="preserve">car rental driving school</t>
  </si>
  <si>
    <t xml:space="preserve">electric car rental mauritius</t>
  </si>
  <si>
    <t xml:space="preserve">Row 5 is done for you. CPA shows "–" when there are no bookings (IFERROR). Action rules: relevant + bookings or good CTR → Add as keyword; irrelevant intent (jobs, buying, loans, free, other services) → Add as negative; relevant but too little data or unclear → Keep monitoring.</t>
  </si>
  <si>
    <t xml:space="preserve">Summary by action (use SUMIFS / COUNTIF on column N). Row 50 is a worked example.</t>
  </si>
  <si>
    <t xml:space="preserve">Number of terms</t>
  </si>
  <si>
    <t xml:space="preserve">Share of total cost</t>
  </si>
  <si>
    <t xml:space="preserve">Add as negative</t>
  </si>
  <si>
    <t xml:space="preserve">Keep monitoring</t>
  </si>
  <si>
    <t xml:space="preserve">Q1. Overall CTR of the campaign (total clicks ÷ total impressions)</t>
  </si>
  <si>
    <t xml:space="preserve">Q2. Overall CPA (Rs)</t>
  </si>
  <si>
    <t xml:space="preserve">Q3. "Wasted spend": how much did the terms you marked "Add as negative" cost (Rs)?</t>
  </si>
  <si>
    <t xml:space="preserve">Q4. If those negatives had been in place from day 1 and the money had brought bookings at the "Add as keyword" CPA, how many extra bookings could the campaign have had? (round down)</t>
  </si>
  <si>
    <t xml:space="preserve">Q5. How many search terms cost more than Rs 300 and brought no booking? (COUNTIFS)</t>
  </si>
  <si>
    <t xml:space="preserve">Q6. Which match type triggered most of the negative terms, and what does this tell you? Give 3 negatives you would add at campaign level. (2–3 sentences)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</si>
</sst>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#,##0.0"/>
    <numFmt numFmtId="167" formatCode="0.0%"/>
    <numFmt numFmtId="168" formatCode="0.0"/>
    <numFmt numFmtId="169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FFFFFF"/>
      <name val="Arial"/>
      <family val="0"/>
      <charset val="1"/>
    </font>
    <font>
      <i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8F5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8"/>
    <col collapsed="false" customWidth="true" hidden="false" outlineLevel="0" max="3" min="3" style="0" width="95"/>
    <col collapsed="false" customWidth="true" hidden="false" outlineLevel="0" max="4" min="4" style="0" width="20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  <c r="C4" s="4"/>
      <c r="D4" s="4"/>
      <c r="E4" s="4"/>
    </row>
    <row r="5" customFormat="false" ht="15" hidden="false" customHeight="false" outlineLevel="0" collapsed="false">
      <c r="B5" s="5" t="s">
        <v>3</v>
      </c>
    </row>
    <row r="6" customFormat="false" ht="15" hidden="false" customHeight="false" outlineLevel="0" collapsed="false">
      <c r="B6" s="5" t="s">
        <v>4</v>
      </c>
    </row>
    <row r="8" customFormat="false" ht="15" hidden="false" customHeight="false" outlineLevel="0" collapsed="false">
      <c r="B8" s="3" t="s">
        <v>5</v>
      </c>
      <c r="C8" s="4"/>
      <c r="D8" s="4"/>
      <c r="E8" s="4"/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5" t="s">
        <v>8</v>
      </c>
    </row>
    <row r="12" customFormat="false" ht="15" hidden="false" customHeight="false" outlineLevel="0" collapsed="false">
      <c r="B12" s="5" t="s">
        <v>9</v>
      </c>
    </row>
    <row r="13" customFormat="false" ht="15" hidden="false" customHeight="false" outlineLevel="0" collapsed="false">
      <c r="B13" s="5" t="s">
        <v>10</v>
      </c>
    </row>
    <row r="15" customFormat="false" ht="15" hidden="false" customHeight="false" outlineLevel="0" collapsed="false">
      <c r="B15" s="3" t="s">
        <v>11</v>
      </c>
      <c r="C15" s="4"/>
      <c r="D15" s="4"/>
      <c r="E15" s="4"/>
    </row>
    <row r="16" customFormat="false" ht="19.5" hidden="false" customHeight="true" outlineLevel="0" collapsed="false">
      <c r="B16" s="6" t="s">
        <v>12</v>
      </c>
      <c r="C16" s="6" t="s">
        <v>13</v>
      </c>
      <c r="D16" s="6" t="s">
        <v>14</v>
      </c>
    </row>
    <row r="17" customFormat="false" ht="15" hidden="false" customHeight="false" outlineLevel="0" collapsed="false">
      <c r="B17" s="7" t="s">
        <v>15</v>
      </c>
      <c r="C17" s="8" t="s">
        <v>16</v>
      </c>
      <c r="D17" s="9" t="n">
        <v>5</v>
      </c>
    </row>
    <row r="18" customFormat="false" ht="15" hidden="false" customHeight="false" outlineLevel="0" collapsed="false">
      <c r="B18" s="7" t="s">
        <v>17</v>
      </c>
      <c r="C18" s="8" t="s">
        <v>18</v>
      </c>
      <c r="D18" s="9" t="n">
        <v>5</v>
      </c>
    </row>
    <row r="19" customFormat="false" ht="15" hidden="false" customHeight="false" outlineLevel="0" collapsed="false">
      <c r="B19" s="7" t="s">
        <v>19</v>
      </c>
      <c r="C19" s="8" t="s">
        <v>20</v>
      </c>
      <c r="D19" s="9" t="n">
        <v>4</v>
      </c>
    </row>
    <row r="20" customFormat="false" ht="15" hidden="false" customHeight="false" outlineLevel="0" collapsed="false">
      <c r="B20" s="7" t="s">
        <v>21</v>
      </c>
      <c r="C20" s="8" t="s">
        <v>22</v>
      </c>
      <c r="D20" s="9" t="n">
        <v>6</v>
      </c>
    </row>
    <row r="21" customFormat="false" ht="15" hidden="false" customHeight="false" outlineLevel="0" collapsed="false">
      <c r="B21" s="7" t="s">
        <v>23</v>
      </c>
      <c r="D21" s="7" t="n">
        <f aca="false">SUM(D17:D20)</f>
        <v>20</v>
      </c>
    </row>
    <row r="23" customFormat="false" ht="15" hidden="false" customHeight="false" outlineLevel="0" collapsed="false">
      <c r="B23" s="10" t="s">
        <v>24</v>
      </c>
      <c r="C23" s="11" t="s">
        <v>25</v>
      </c>
      <c r="D23" s="12" t="s">
        <v>26</v>
      </c>
    </row>
    <row r="25" customFormat="false" ht="15" hidden="false" customHeight="false" outlineLevel="0" collapsed="false">
      <c r="B25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44"/>
    <col collapsed="false" customWidth="true" hidden="false" outlineLevel="0" max="6" min="4" style="0" width="14"/>
    <col collapsed="false" customWidth="true" hidden="false" outlineLevel="0" max="7" min="7" style="0" width="20"/>
    <col collapsed="false" customWidth="true" hidden="false" outlineLevel="0" max="8" min="8" style="0" width="12"/>
    <col collapsed="false" customWidth="true" hidden="false" outlineLevel="0" max="9" min="9" style="0" width="36"/>
  </cols>
  <sheetData>
    <row r="1" customFormat="false" ht="17.35" hidden="false" customHeight="false" outlineLevel="0" collapsed="false">
      <c r="B1" s="1" t="s">
        <v>28</v>
      </c>
    </row>
    <row r="2" customFormat="false" ht="15" hidden="false" customHeight="false" outlineLevel="0" collapsed="false">
      <c r="B2" s="2" t="s">
        <v>29</v>
      </c>
    </row>
    <row r="4" customFormat="false" ht="15" hidden="false" customHeight="false" outlineLevel="0" collapsed="false">
      <c r="B4" s="3" t="s">
        <v>30</v>
      </c>
      <c r="C4" s="4"/>
      <c r="D4" s="4"/>
      <c r="E4" s="4"/>
      <c r="F4" s="4"/>
      <c r="G4" s="4"/>
      <c r="H4" s="4"/>
      <c r="I4" s="4"/>
      <c r="J4" s="4"/>
    </row>
    <row r="5" customFormat="false" ht="15" hidden="false" customHeight="false" outlineLevel="0" collapsed="false">
      <c r="B5" s="13" t="s">
        <v>31</v>
      </c>
    </row>
    <row r="8" customFormat="false" ht="39.75" hidden="false" customHeight="true" outlineLevel="0" collapsed="false">
      <c r="B8" s="6" t="s">
        <v>32</v>
      </c>
      <c r="C8" s="6" t="s">
        <v>33</v>
      </c>
      <c r="D8" s="6" t="s">
        <v>34</v>
      </c>
      <c r="E8" s="6" t="s">
        <v>35</v>
      </c>
      <c r="F8" s="6" t="s">
        <v>36</v>
      </c>
      <c r="G8" s="6" t="s">
        <v>37</v>
      </c>
      <c r="H8" s="6" t="s">
        <v>38</v>
      </c>
      <c r="I8" s="6" t="s">
        <v>39</v>
      </c>
    </row>
    <row r="9" customFormat="false" ht="15" hidden="false" customHeight="false" outlineLevel="0" collapsed="false">
      <c r="B9" s="9" t="n">
        <v>1</v>
      </c>
      <c r="C9" s="9" t="s">
        <v>40</v>
      </c>
      <c r="D9" s="14" t="n">
        <v>880</v>
      </c>
      <c r="E9" s="14" t="n">
        <v>18</v>
      </c>
      <c r="F9" s="14" t="n">
        <v>42</v>
      </c>
      <c r="G9" s="11" t="s">
        <v>41</v>
      </c>
      <c r="H9" s="11" t="s">
        <v>42</v>
      </c>
      <c r="I9" s="11" t="s">
        <v>43</v>
      </c>
    </row>
    <row r="10" customFormat="false" ht="15" hidden="false" customHeight="false" outlineLevel="0" collapsed="false">
      <c r="B10" s="9" t="n">
        <v>2</v>
      </c>
      <c r="C10" s="9" t="s">
        <v>44</v>
      </c>
      <c r="D10" s="14" t="n">
        <v>720</v>
      </c>
      <c r="E10" s="14" t="n">
        <v>12</v>
      </c>
      <c r="F10" s="14" t="n">
        <v>30</v>
      </c>
      <c r="G10" s="11"/>
      <c r="H10" s="11"/>
      <c r="I10" s="11"/>
    </row>
    <row r="11" customFormat="false" ht="15" hidden="false" customHeight="false" outlineLevel="0" collapsed="false">
      <c r="B11" s="9" t="n">
        <v>3</v>
      </c>
      <c r="C11" s="9" t="s">
        <v>45</v>
      </c>
      <c r="D11" s="14" t="n">
        <v>170</v>
      </c>
      <c r="E11" s="14" t="n">
        <v>20</v>
      </c>
      <c r="F11" s="14" t="n">
        <v>45</v>
      </c>
      <c r="G11" s="11"/>
      <c r="H11" s="11"/>
      <c r="I11" s="11"/>
    </row>
    <row r="12" customFormat="false" ht="15" hidden="false" customHeight="false" outlineLevel="0" collapsed="false">
      <c r="B12" s="9" t="n">
        <v>4</v>
      </c>
      <c r="C12" s="9" t="s">
        <v>46</v>
      </c>
      <c r="D12" s="14" t="n">
        <v>140</v>
      </c>
      <c r="E12" s="14" t="n">
        <v>15</v>
      </c>
      <c r="F12" s="14" t="n">
        <v>35</v>
      </c>
      <c r="G12" s="11"/>
      <c r="H12" s="11"/>
      <c r="I12" s="11"/>
    </row>
    <row r="13" customFormat="false" ht="15" hidden="false" customHeight="false" outlineLevel="0" collapsed="false">
      <c r="B13" s="9" t="n">
        <v>5</v>
      </c>
      <c r="C13" s="9" t="s">
        <v>47</v>
      </c>
      <c r="D13" s="14" t="n">
        <v>1300</v>
      </c>
      <c r="E13" s="14" t="n">
        <v>3</v>
      </c>
      <c r="F13" s="14" t="n">
        <v>9</v>
      </c>
      <c r="G13" s="11"/>
      <c r="H13" s="11"/>
      <c r="I13" s="11"/>
    </row>
    <row r="14" customFormat="false" ht="15" hidden="false" customHeight="false" outlineLevel="0" collapsed="false">
      <c r="B14" s="9" t="n">
        <v>6</v>
      </c>
      <c r="C14" s="9" t="s">
        <v>48</v>
      </c>
      <c r="D14" s="14" t="n">
        <v>590</v>
      </c>
      <c r="E14" s="14" t="n">
        <v>16</v>
      </c>
      <c r="F14" s="14" t="n">
        <v>40</v>
      </c>
      <c r="G14" s="11"/>
      <c r="H14" s="11"/>
      <c r="I14" s="11"/>
    </row>
    <row r="15" customFormat="false" ht="15" hidden="false" customHeight="false" outlineLevel="0" collapsed="false">
      <c r="B15" s="9" t="n">
        <v>7</v>
      </c>
      <c r="C15" s="9" t="s">
        <v>49</v>
      </c>
      <c r="D15" s="14" t="n">
        <v>210</v>
      </c>
      <c r="E15" s="14" t="n">
        <v>11</v>
      </c>
      <c r="F15" s="14" t="n">
        <v>28</v>
      </c>
      <c r="G15" s="11"/>
      <c r="H15" s="11"/>
      <c r="I15" s="11"/>
    </row>
    <row r="16" customFormat="false" ht="15" hidden="false" customHeight="false" outlineLevel="0" collapsed="false">
      <c r="B16" s="9" t="n">
        <v>8</v>
      </c>
      <c r="C16" s="9" t="s">
        <v>50</v>
      </c>
      <c r="D16" s="14" t="n">
        <v>110</v>
      </c>
      <c r="E16" s="14" t="n">
        <v>16</v>
      </c>
      <c r="F16" s="14" t="n">
        <v>38</v>
      </c>
      <c r="G16" s="11"/>
      <c r="H16" s="11"/>
      <c r="I16" s="11"/>
    </row>
    <row r="17" customFormat="false" ht="15" hidden="false" customHeight="false" outlineLevel="0" collapsed="false">
      <c r="B17" s="9" t="n">
        <v>9</v>
      </c>
      <c r="C17" s="9" t="s">
        <v>51</v>
      </c>
      <c r="D17" s="14" t="n">
        <v>90</v>
      </c>
      <c r="E17" s="14" t="n">
        <v>2</v>
      </c>
      <c r="F17" s="14" t="n">
        <v>6</v>
      </c>
      <c r="G17" s="11"/>
      <c r="H17" s="11"/>
      <c r="I17" s="11"/>
    </row>
    <row r="18" customFormat="false" ht="15" hidden="false" customHeight="false" outlineLevel="0" collapsed="false">
      <c r="B18" s="9" t="n">
        <v>10</v>
      </c>
      <c r="C18" s="9" t="s">
        <v>52</v>
      </c>
      <c r="D18" s="14" t="n">
        <v>70</v>
      </c>
      <c r="E18" s="14" t="n">
        <v>19</v>
      </c>
      <c r="F18" s="14" t="n">
        <v>44</v>
      </c>
      <c r="G18" s="11"/>
      <c r="H18" s="11"/>
      <c r="I18" s="11"/>
    </row>
    <row r="19" customFormat="false" ht="15" hidden="false" customHeight="false" outlineLevel="0" collapsed="false">
      <c r="B19" s="9" t="n">
        <v>11</v>
      </c>
      <c r="C19" s="9" t="s">
        <v>53</v>
      </c>
      <c r="D19" s="14" t="n">
        <v>480</v>
      </c>
      <c r="E19" s="14" t="n">
        <v>10</v>
      </c>
      <c r="F19" s="14" t="n">
        <v>26</v>
      </c>
      <c r="G19" s="11"/>
      <c r="H19" s="11"/>
      <c r="I19" s="11"/>
    </row>
    <row r="20" customFormat="false" ht="15" hidden="false" customHeight="false" outlineLevel="0" collapsed="false">
      <c r="B20" s="9" t="n">
        <v>12</v>
      </c>
      <c r="C20" s="9" t="s">
        <v>54</v>
      </c>
      <c r="D20" s="14" t="n">
        <v>90</v>
      </c>
      <c r="E20" s="14" t="n">
        <v>14</v>
      </c>
      <c r="F20" s="14" t="n">
        <v>33</v>
      </c>
      <c r="G20" s="11"/>
      <c r="H20" s="11"/>
      <c r="I20" s="11"/>
    </row>
    <row r="21" customFormat="false" ht="15" hidden="false" customHeight="false" outlineLevel="0" collapsed="false">
      <c r="B21" s="9" t="n">
        <v>13</v>
      </c>
      <c r="C21" s="9" t="s">
        <v>55</v>
      </c>
      <c r="D21" s="14" t="n">
        <v>260</v>
      </c>
      <c r="E21" s="14" t="n">
        <v>4</v>
      </c>
      <c r="F21" s="14" t="n">
        <v>12</v>
      </c>
      <c r="G21" s="11"/>
      <c r="H21" s="11"/>
      <c r="I21" s="11"/>
    </row>
    <row r="22" customFormat="false" ht="15" hidden="false" customHeight="false" outlineLevel="0" collapsed="false">
      <c r="B22" s="9" t="n">
        <v>14</v>
      </c>
      <c r="C22" s="9" t="s">
        <v>56</v>
      </c>
      <c r="D22" s="14" t="n">
        <v>260</v>
      </c>
      <c r="E22" s="14" t="n">
        <v>18</v>
      </c>
      <c r="F22" s="14" t="n">
        <v>43</v>
      </c>
      <c r="G22" s="11"/>
      <c r="H22" s="11"/>
      <c r="I22" s="11"/>
    </row>
    <row r="23" customFormat="false" ht="15" hidden="false" customHeight="false" outlineLevel="0" collapsed="false">
      <c r="B23" s="9" t="n">
        <v>15</v>
      </c>
      <c r="C23" s="9" t="s">
        <v>57</v>
      </c>
      <c r="D23" s="14" t="n">
        <v>320</v>
      </c>
      <c r="E23" s="14" t="n">
        <v>12</v>
      </c>
      <c r="F23" s="14" t="n">
        <v>29</v>
      </c>
      <c r="G23" s="11"/>
      <c r="H23" s="11"/>
      <c r="I23" s="11"/>
    </row>
    <row r="24" customFormat="false" ht="15" hidden="false" customHeight="false" outlineLevel="0" collapsed="false">
      <c r="B24" s="9" t="n">
        <v>16</v>
      </c>
      <c r="C24" s="9" t="s">
        <v>58</v>
      </c>
      <c r="D24" s="14" t="n">
        <v>70</v>
      </c>
      <c r="E24" s="14" t="n">
        <v>14</v>
      </c>
      <c r="F24" s="14" t="n">
        <v>34</v>
      </c>
      <c r="G24" s="11"/>
      <c r="H24" s="11"/>
      <c r="I24" s="11"/>
    </row>
    <row r="25" customFormat="false" ht="15" hidden="false" customHeight="false" outlineLevel="0" collapsed="false">
      <c r="B25" s="9" t="n">
        <v>17</v>
      </c>
      <c r="C25" s="9" t="s">
        <v>59</v>
      </c>
      <c r="D25" s="14" t="n">
        <v>590</v>
      </c>
      <c r="E25" s="14" t="n">
        <v>6</v>
      </c>
      <c r="F25" s="14" t="n">
        <v>18</v>
      </c>
      <c r="G25" s="11"/>
      <c r="H25" s="11"/>
      <c r="I25" s="11"/>
    </row>
    <row r="26" customFormat="false" ht="15" hidden="false" customHeight="false" outlineLevel="0" collapsed="false">
      <c r="B26" s="9" t="n">
        <v>18</v>
      </c>
      <c r="C26" s="9" t="s">
        <v>60</v>
      </c>
      <c r="D26" s="14" t="n">
        <v>110</v>
      </c>
      <c r="E26" s="14" t="n">
        <v>20</v>
      </c>
      <c r="F26" s="14" t="n">
        <v>46</v>
      </c>
      <c r="G26" s="11"/>
      <c r="H26" s="11"/>
      <c r="I26" s="11"/>
    </row>
    <row r="27" customFormat="false" ht="15" hidden="false" customHeight="false" outlineLevel="0" collapsed="false">
      <c r="B27" s="9" t="n">
        <v>19</v>
      </c>
      <c r="C27" s="9" t="s">
        <v>61</v>
      </c>
      <c r="D27" s="14" t="n">
        <v>50</v>
      </c>
      <c r="E27" s="14" t="n">
        <v>11</v>
      </c>
      <c r="F27" s="14" t="n">
        <v>27</v>
      </c>
      <c r="G27" s="11"/>
      <c r="H27" s="11"/>
      <c r="I27" s="11"/>
    </row>
    <row r="28" customFormat="false" ht="15" hidden="false" customHeight="false" outlineLevel="0" collapsed="false">
      <c r="B28" s="9" t="n">
        <v>20</v>
      </c>
      <c r="C28" s="9" t="s">
        <v>62</v>
      </c>
      <c r="D28" s="14" t="n">
        <v>50</v>
      </c>
      <c r="E28" s="14" t="n">
        <v>15</v>
      </c>
      <c r="F28" s="14" t="n">
        <v>36</v>
      </c>
      <c r="G28" s="11"/>
      <c r="H28" s="11"/>
      <c r="I28" s="11"/>
    </row>
    <row r="29" customFormat="false" ht="15" hidden="false" customHeight="false" outlineLevel="0" collapsed="false">
      <c r="B29" s="9" t="n">
        <v>21</v>
      </c>
      <c r="C29" s="9" t="s">
        <v>63</v>
      </c>
      <c r="D29" s="14" t="n">
        <v>170</v>
      </c>
      <c r="E29" s="14" t="n">
        <v>2</v>
      </c>
      <c r="F29" s="14" t="n">
        <v>7</v>
      </c>
      <c r="G29" s="11"/>
      <c r="H29" s="11"/>
      <c r="I29" s="11"/>
    </row>
    <row r="30" customFormat="false" ht="15" hidden="false" customHeight="false" outlineLevel="0" collapsed="false">
      <c r="B30" s="9" t="n">
        <v>22</v>
      </c>
      <c r="C30" s="9" t="s">
        <v>64</v>
      </c>
      <c r="D30" s="14" t="n">
        <v>140</v>
      </c>
      <c r="E30" s="14" t="n">
        <v>17</v>
      </c>
      <c r="F30" s="14" t="n">
        <v>41</v>
      </c>
      <c r="G30" s="11"/>
      <c r="H30" s="11"/>
      <c r="I30" s="11"/>
    </row>
    <row r="31" customFormat="false" ht="15" hidden="false" customHeight="false" outlineLevel="0" collapsed="false">
      <c r="B31" s="9" t="n">
        <v>23</v>
      </c>
      <c r="C31" s="9" t="s">
        <v>65</v>
      </c>
      <c r="D31" s="14" t="n">
        <v>170</v>
      </c>
      <c r="E31" s="14" t="n">
        <v>10</v>
      </c>
      <c r="F31" s="14" t="n">
        <v>25</v>
      </c>
      <c r="G31" s="11"/>
      <c r="H31" s="11"/>
      <c r="I31" s="11"/>
    </row>
    <row r="32" customFormat="false" ht="15" hidden="false" customHeight="false" outlineLevel="0" collapsed="false">
      <c r="B32" s="9" t="n">
        <v>24</v>
      </c>
      <c r="C32" s="9" t="s">
        <v>66</v>
      </c>
      <c r="D32" s="14" t="n">
        <v>50</v>
      </c>
      <c r="E32" s="14" t="n">
        <v>15</v>
      </c>
      <c r="F32" s="14" t="n">
        <v>35</v>
      </c>
      <c r="G32" s="11"/>
      <c r="H32" s="11"/>
      <c r="I32" s="11"/>
    </row>
    <row r="33" customFormat="false" ht="15" hidden="false" customHeight="false" outlineLevel="0" collapsed="false">
      <c r="B33" s="9" t="n">
        <v>25</v>
      </c>
      <c r="C33" s="9" t="s">
        <v>67</v>
      </c>
      <c r="D33" s="14" t="n">
        <v>40</v>
      </c>
      <c r="E33" s="14" t="n">
        <v>1</v>
      </c>
      <c r="F33" s="14" t="n">
        <v>4</v>
      </c>
      <c r="G33" s="11"/>
      <c r="H33" s="11"/>
      <c r="I33" s="11"/>
    </row>
    <row r="34" customFormat="false" ht="15" hidden="false" customHeight="false" outlineLevel="0" collapsed="false">
      <c r="B34" s="9" t="n">
        <v>26</v>
      </c>
      <c r="C34" s="9" t="s">
        <v>68</v>
      </c>
      <c r="D34" s="14" t="n">
        <v>90</v>
      </c>
      <c r="E34" s="14" t="n">
        <v>19</v>
      </c>
      <c r="F34" s="14" t="n">
        <v>44</v>
      </c>
      <c r="G34" s="11"/>
      <c r="H34" s="11"/>
      <c r="I34" s="11"/>
    </row>
    <row r="35" customFormat="false" ht="15" hidden="false" customHeight="false" outlineLevel="0" collapsed="false">
      <c r="B35" s="9" t="n">
        <v>27</v>
      </c>
      <c r="C35" s="9" t="s">
        <v>69</v>
      </c>
      <c r="D35" s="14" t="n">
        <v>140</v>
      </c>
      <c r="E35" s="14" t="n">
        <v>11</v>
      </c>
      <c r="F35" s="14" t="n">
        <v>27</v>
      </c>
      <c r="G35" s="11"/>
      <c r="H35" s="11"/>
      <c r="I35" s="11"/>
    </row>
    <row r="36" customFormat="false" ht="15" hidden="false" customHeight="false" outlineLevel="0" collapsed="false">
      <c r="B36" s="9" t="n">
        <v>28</v>
      </c>
      <c r="C36" s="9" t="s">
        <v>70</v>
      </c>
      <c r="D36" s="14" t="n">
        <v>40</v>
      </c>
      <c r="E36" s="14" t="n">
        <v>18</v>
      </c>
      <c r="F36" s="14" t="n">
        <v>40</v>
      </c>
      <c r="G36" s="11"/>
      <c r="H36" s="11"/>
      <c r="I36" s="11"/>
    </row>
    <row r="37" customFormat="false" ht="15" hidden="false" customHeight="false" outlineLevel="0" collapsed="false">
      <c r="B37" s="9" t="n">
        <v>29</v>
      </c>
      <c r="C37" s="9" t="s">
        <v>71</v>
      </c>
      <c r="D37" s="14" t="n">
        <v>210</v>
      </c>
      <c r="E37" s="14" t="n">
        <v>20</v>
      </c>
      <c r="F37" s="14" t="n">
        <v>46</v>
      </c>
      <c r="G37" s="11"/>
      <c r="H37" s="11"/>
      <c r="I37" s="11"/>
    </row>
    <row r="38" customFormat="false" ht="15" hidden="false" customHeight="false" outlineLevel="0" collapsed="false">
      <c r="B38" s="9" t="n">
        <v>30</v>
      </c>
      <c r="C38" s="9" t="s">
        <v>72</v>
      </c>
      <c r="D38" s="14" t="n">
        <v>260</v>
      </c>
      <c r="E38" s="14" t="n">
        <v>10</v>
      </c>
      <c r="F38" s="14" t="n">
        <v>25</v>
      </c>
      <c r="G38" s="11"/>
      <c r="H38" s="11"/>
      <c r="I38" s="11"/>
    </row>
    <row r="40" customFormat="false" ht="15" hidden="false" customHeight="false" outlineLevel="0" collapsed="false">
      <c r="B40" s="3" t="s">
        <v>73</v>
      </c>
      <c r="C40" s="4"/>
      <c r="D40" s="4"/>
      <c r="E40" s="4"/>
      <c r="F40" s="4"/>
      <c r="G40" s="4"/>
      <c r="H40" s="4"/>
      <c r="I40" s="4"/>
      <c r="J40" s="4"/>
    </row>
    <row r="41" customFormat="false" ht="30" hidden="false" customHeight="true" outlineLevel="0" collapsed="false">
      <c r="B41" s="6"/>
      <c r="C41" s="6" t="s">
        <v>37</v>
      </c>
      <c r="D41" s="6" t="s">
        <v>74</v>
      </c>
      <c r="E41" s="6" t="s">
        <v>75</v>
      </c>
      <c r="F41" s="6" t="s">
        <v>76</v>
      </c>
    </row>
    <row r="42" customFormat="false" ht="15" hidden="false" customHeight="false" outlineLevel="0" collapsed="false">
      <c r="C42" s="7" t="s">
        <v>41</v>
      </c>
      <c r="D42" s="15" t="n">
        <f aca="false">COUNTIF($G$9:$G$38,C42)</f>
        <v>1</v>
      </c>
      <c r="E42" s="15" t="n">
        <f aca="false">SUMIF($G$9:$G$38,C42,$D$9:$D$38)</f>
        <v>880</v>
      </c>
      <c r="F42" s="16" t="n">
        <f aca="false">AVERAGEIF($G$9:$G$38,C42,$F$9:$F$38)</f>
        <v>42</v>
      </c>
    </row>
    <row r="43" customFormat="false" ht="15" hidden="false" customHeight="false" outlineLevel="0" collapsed="false">
      <c r="C43" s="7" t="s">
        <v>77</v>
      </c>
      <c r="D43" s="15"/>
      <c r="E43" s="15"/>
      <c r="F43" s="16"/>
    </row>
    <row r="44" customFormat="false" ht="15" hidden="false" customHeight="false" outlineLevel="0" collapsed="false">
      <c r="C44" s="7" t="s">
        <v>78</v>
      </c>
      <c r="D44" s="15"/>
      <c r="E44" s="15"/>
      <c r="F44" s="16"/>
    </row>
    <row r="45" customFormat="false" ht="15" hidden="false" customHeight="false" outlineLevel="0" collapsed="false">
      <c r="C45" s="7" t="s">
        <v>79</v>
      </c>
      <c r="D45" s="15"/>
      <c r="E45" s="15"/>
      <c r="F45" s="16"/>
    </row>
    <row r="47" customFormat="false" ht="15" hidden="false" customHeight="false" outlineLevel="0" collapsed="false">
      <c r="B47" s="3" t="s">
        <v>80</v>
      </c>
      <c r="C47" s="4"/>
      <c r="D47" s="4"/>
      <c r="E47" s="4"/>
      <c r="F47" s="4"/>
      <c r="G47" s="4"/>
      <c r="H47" s="4"/>
      <c r="I47" s="4"/>
      <c r="J47" s="4"/>
    </row>
    <row r="48" customFormat="false" ht="30" hidden="false" customHeight="true" outlineLevel="0" collapsed="false">
      <c r="B48" s="8" t="s">
        <v>81</v>
      </c>
      <c r="C48" s="8"/>
      <c r="D48" s="8"/>
      <c r="E48" s="8"/>
      <c r="F48" s="8"/>
      <c r="G48" s="11"/>
      <c r="H48" s="11"/>
      <c r="I48" s="11"/>
    </row>
    <row r="49" customFormat="false" ht="30" hidden="false" customHeight="true" outlineLevel="0" collapsed="false">
      <c r="B49" s="8" t="s">
        <v>82</v>
      </c>
      <c r="C49" s="8"/>
      <c r="D49" s="8"/>
      <c r="E49" s="8"/>
      <c r="F49" s="8"/>
      <c r="G49" s="17"/>
      <c r="H49" s="17"/>
      <c r="I49" s="17"/>
    </row>
    <row r="50" customFormat="false" ht="45" hidden="false" customHeight="true" outlineLevel="0" collapsed="false">
      <c r="B50" s="8" t="s">
        <v>83</v>
      </c>
      <c r="C50" s="8"/>
      <c r="D50" s="8"/>
      <c r="E50" s="8"/>
      <c r="F50" s="8"/>
      <c r="G50" s="18"/>
      <c r="H50" s="18"/>
      <c r="I50" s="18"/>
    </row>
    <row r="51" customFormat="false" ht="69.75" hidden="false" customHeight="true" outlineLevel="0" collapsed="false">
      <c r="B51" s="8" t="s">
        <v>84</v>
      </c>
      <c r="C51" s="8"/>
      <c r="D51" s="8"/>
      <c r="E51" s="8"/>
      <c r="F51" s="8"/>
      <c r="G51" s="18"/>
      <c r="H51" s="18"/>
      <c r="I51" s="18"/>
    </row>
    <row r="52" customFormat="false" ht="69.75" hidden="false" customHeight="true" outlineLevel="0" collapsed="false">
      <c r="B52" s="8" t="s">
        <v>85</v>
      </c>
      <c r="C52" s="8"/>
      <c r="D52" s="8"/>
      <c r="E52" s="8"/>
      <c r="F52" s="8"/>
      <c r="G52" s="18"/>
      <c r="H52" s="18"/>
      <c r="I52" s="18"/>
    </row>
  </sheetData>
  <mergeCells count="10">
    <mergeCell ref="B48:F48"/>
    <mergeCell ref="G48:I48"/>
    <mergeCell ref="B49:F49"/>
    <mergeCell ref="G49:I49"/>
    <mergeCell ref="B50:F50"/>
    <mergeCell ref="G50:I50"/>
    <mergeCell ref="B51:F51"/>
    <mergeCell ref="G51:I51"/>
    <mergeCell ref="B52:F52"/>
    <mergeCell ref="G52:I52"/>
  </mergeCells>
  <dataValidations count="2">
    <dataValidation allowBlank="true" errorStyle="stop" operator="between" showDropDown="false" showErrorMessage="false" showInputMessage="false" sqref="G9:G38" type="list">
      <formula1>"Airport car hire,Cheap car rental,SUV &amp; 7-seater,Negative"</formula1>
      <formula2>0</formula2>
    </dataValidation>
    <dataValidation allowBlank="true" errorStyle="stop" operator="between" showDropDown="false" showErrorMessage="false" showInputMessage="false" sqref="H9:H38" type="list">
      <formula1>"Exact,Phrase,Broad,–"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12" min="3" style="0" width="13"/>
  </cols>
  <sheetData>
    <row r="1" customFormat="false" ht="17.35" hidden="false" customHeight="false" outlineLevel="0" collapsed="false">
      <c r="B1" s="1" t="s">
        <v>86</v>
      </c>
    </row>
    <row r="2" customFormat="false" ht="15" hidden="false" customHeight="false" outlineLevel="0" collapsed="false">
      <c r="B2" s="2" t="s">
        <v>87</v>
      </c>
    </row>
    <row r="4" customFormat="false" ht="39.75" hidden="false" customHeight="true" outlineLevel="0" collapsed="false">
      <c r="B4" s="6" t="s">
        <v>37</v>
      </c>
      <c r="C4" s="6" t="s">
        <v>88</v>
      </c>
      <c r="D4" s="6" t="s">
        <v>89</v>
      </c>
      <c r="E4" s="6" t="s">
        <v>90</v>
      </c>
      <c r="F4" s="6" t="s">
        <v>91</v>
      </c>
      <c r="G4" s="6" t="s">
        <v>92</v>
      </c>
      <c r="H4" s="6" t="s">
        <v>93</v>
      </c>
      <c r="I4" s="6" t="s">
        <v>94</v>
      </c>
      <c r="J4" s="6" t="s">
        <v>95</v>
      </c>
      <c r="K4" s="6" t="s">
        <v>96</v>
      </c>
      <c r="L4" s="6" t="s">
        <v>97</v>
      </c>
    </row>
    <row r="5" customFormat="false" ht="15" hidden="false" customHeight="false" outlineLevel="0" collapsed="false">
      <c r="B5" s="7" t="s">
        <v>41</v>
      </c>
      <c r="C5" s="9" t="n">
        <v>24</v>
      </c>
      <c r="D5" s="19" t="n">
        <v>0.1</v>
      </c>
      <c r="E5" s="14" t="n">
        <v>32</v>
      </c>
      <c r="F5" s="14" t="n">
        <v>9000</v>
      </c>
      <c r="G5" s="15" t="n">
        <f aca="false">C5/D5</f>
        <v>240</v>
      </c>
      <c r="H5" s="15" t="n">
        <f aca="false">G5*E5</f>
        <v>7680</v>
      </c>
      <c r="I5" s="15" t="n">
        <f aca="false">H5/30.4</f>
        <v>252.631578947368</v>
      </c>
      <c r="J5" s="15" t="n">
        <f aca="false">H5/C5</f>
        <v>320</v>
      </c>
      <c r="K5" s="15" t="n">
        <f aca="false">C5*F5</f>
        <v>216000</v>
      </c>
      <c r="L5" s="20" t="n">
        <f aca="false">K5/H5</f>
        <v>28.125</v>
      </c>
    </row>
    <row r="6" customFormat="false" ht="15" hidden="false" customHeight="false" outlineLevel="0" collapsed="false">
      <c r="B6" s="7" t="s">
        <v>77</v>
      </c>
      <c r="C6" s="9" t="n">
        <v>15</v>
      </c>
      <c r="D6" s="19" t="n">
        <v>0.05</v>
      </c>
      <c r="E6" s="14" t="n">
        <v>18</v>
      </c>
      <c r="F6" s="14" t="n">
        <v>6500</v>
      </c>
      <c r="G6" s="15"/>
      <c r="H6" s="15"/>
      <c r="I6" s="15"/>
      <c r="J6" s="15"/>
      <c r="K6" s="15"/>
      <c r="L6" s="20"/>
    </row>
    <row r="7" customFormat="false" ht="15" hidden="false" customHeight="false" outlineLevel="0" collapsed="false">
      <c r="B7" s="7" t="s">
        <v>78</v>
      </c>
      <c r="C7" s="9" t="n">
        <v>9</v>
      </c>
      <c r="D7" s="19" t="n">
        <v>0.075</v>
      </c>
      <c r="E7" s="14" t="n">
        <v>30</v>
      </c>
      <c r="F7" s="14" t="n">
        <v>13000</v>
      </c>
      <c r="G7" s="15"/>
      <c r="H7" s="15"/>
      <c r="I7" s="15"/>
      <c r="J7" s="15"/>
      <c r="K7" s="15"/>
      <c r="L7" s="20"/>
    </row>
    <row r="8" customFormat="false" ht="15" hidden="false" customHeight="false" outlineLevel="0" collapsed="false">
      <c r="B8" s="7" t="s">
        <v>23</v>
      </c>
      <c r="C8" s="7" t="n">
        <f aca="false">SUM(C5:C7)</f>
        <v>48</v>
      </c>
      <c r="G8" s="15"/>
      <c r="H8" s="15"/>
      <c r="I8" s="15"/>
      <c r="J8" s="15"/>
      <c r="K8" s="15"/>
      <c r="L8" s="20"/>
    </row>
    <row r="9" customFormat="false" ht="15" hidden="false" customHeight="false" outlineLevel="0" collapsed="false">
      <c r="B9" s="13" t="s">
        <v>98</v>
      </c>
    </row>
    <row r="10" customFormat="false" ht="15" hidden="false" customHeight="false" outlineLevel="0" collapsed="false">
      <c r="B10" s="2" t="s">
        <v>99</v>
      </c>
    </row>
    <row r="12" customFormat="false" ht="15" hidden="false" customHeight="false" outlineLevel="0" collapsed="false">
      <c r="B12" s="3" t="s">
        <v>80</v>
      </c>
      <c r="C12" s="4"/>
      <c r="D12" s="4"/>
      <c r="E12" s="4"/>
      <c r="F12" s="4"/>
      <c r="G12" s="4"/>
      <c r="H12" s="4"/>
      <c r="I12" s="4"/>
      <c r="J12" s="4"/>
      <c r="K12" s="4"/>
      <c r="L12" s="4"/>
    </row>
    <row r="13" customFormat="false" ht="31.5" hidden="false" customHeight="true" outlineLevel="0" collapsed="false">
      <c r="B13" s="8" t="s">
        <v>100</v>
      </c>
      <c r="C13" s="8"/>
      <c r="D13" s="8"/>
      <c r="E13" s="8"/>
      <c r="F13" s="8"/>
      <c r="G13" s="8"/>
      <c r="H13" s="15"/>
      <c r="I13" s="15"/>
      <c r="J13" s="15"/>
      <c r="K13" s="15"/>
    </row>
    <row r="14" customFormat="false" ht="31.5" hidden="false" customHeight="true" outlineLevel="0" collapsed="false">
      <c r="B14" s="8" t="s">
        <v>101</v>
      </c>
      <c r="C14" s="8"/>
      <c r="D14" s="8"/>
      <c r="E14" s="8"/>
      <c r="F14" s="8"/>
      <c r="G14" s="8"/>
      <c r="H14" s="15"/>
      <c r="I14" s="15"/>
      <c r="J14" s="15"/>
      <c r="K14" s="15"/>
    </row>
    <row r="15" customFormat="false" ht="31.5" hidden="false" customHeight="true" outlineLevel="0" collapsed="false">
      <c r="B15" s="8" t="s">
        <v>102</v>
      </c>
      <c r="C15" s="8"/>
      <c r="D15" s="8"/>
      <c r="E15" s="8"/>
      <c r="F15" s="8"/>
      <c r="G15" s="8"/>
      <c r="H15" s="15"/>
      <c r="I15" s="15"/>
      <c r="J15" s="15"/>
      <c r="K15" s="15"/>
    </row>
    <row r="16" customFormat="false" ht="31.5" hidden="false" customHeight="true" outlineLevel="0" collapsed="false">
      <c r="B16" s="8" t="s">
        <v>103</v>
      </c>
      <c r="C16" s="8"/>
      <c r="D16" s="8"/>
      <c r="E16" s="8"/>
      <c r="F16" s="8"/>
      <c r="G16" s="8"/>
      <c r="H16" s="11"/>
      <c r="I16" s="11"/>
      <c r="J16" s="11"/>
      <c r="K16" s="11"/>
    </row>
    <row r="17" customFormat="false" ht="31.5" hidden="false" customHeight="true" outlineLevel="0" collapsed="false">
      <c r="B17" s="8" t="s">
        <v>104</v>
      </c>
      <c r="C17" s="8"/>
      <c r="D17" s="8"/>
      <c r="E17" s="8"/>
      <c r="F17" s="8"/>
      <c r="G17" s="8"/>
      <c r="H17" s="11"/>
      <c r="I17" s="11"/>
      <c r="J17" s="11"/>
      <c r="K17" s="11"/>
    </row>
    <row r="18" customFormat="false" ht="31.5" hidden="false" customHeight="true" outlineLevel="0" collapsed="false">
      <c r="B18" s="8" t="s">
        <v>105</v>
      </c>
      <c r="C18" s="8"/>
      <c r="D18" s="8"/>
      <c r="E18" s="8"/>
      <c r="F18" s="8"/>
      <c r="G18" s="8"/>
      <c r="H18" s="15"/>
      <c r="I18" s="15"/>
      <c r="J18" s="15"/>
      <c r="K18" s="15"/>
    </row>
    <row r="19" customFormat="false" ht="31.5" hidden="false" customHeight="true" outlineLevel="0" collapsed="false">
      <c r="B19" s="8" t="s">
        <v>106</v>
      </c>
      <c r="C19" s="8"/>
      <c r="D19" s="8"/>
      <c r="E19" s="8"/>
      <c r="F19" s="8"/>
      <c r="G19" s="8"/>
      <c r="H19" s="15"/>
      <c r="I19" s="15"/>
      <c r="J19" s="15"/>
      <c r="K19" s="15"/>
    </row>
    <row r="20" customFormat="false" ht="69.75" hidden="false" customHeight="true" outlineLevel="0" collapsed="false">
      <c r="B20" s="8" t="s">
        <v>107</v>
      </c>
      <c r="C20" s="8"/>
      <c r="D20" s="8"/>
      <c r="E20" s="8"/>
      <c r="F20" s="8"/>
      <c r="G20" s="8"/>
      <c r="H20" s="18"/>
      <c r="I20" s="18"/>
      <c r="J20" s="18"/>
      <c r="K20" s="18"/>
    </row>
  </sheetData>
  <mergeCells count="16">
    <mergeCell ref="B13:G13"/>
    <mergeCell ref="H13:K13"/>
    <mergeCell ref="B14:G14"/>
    <mergeCell ref="H14:K14"/>
    <mergeCell ref="B15:G15"/>
    <mergeCell ref="H15:K15"/>
    <mergeCell ref="B16:G16"/>
    <mergeCell ref="H16:K16"/>
    <mergeCell ref="B17:G17"/>
    <mergeCell ref="H17:K17"/>
    <mergeCell ref="B18:G18"/>
    <mergeCell ref="H18:K18"/>
    <mergeCell ref="B19:G19"/>
    <mergeCell ref="H19:K19"/>
    <mergeCell ref="B20:G20"/>
    <mergeCell ref="H20:K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60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50"/>
    <col collapsed="false" customWidth="true" hidden="false" outlineLevel="0" max="9" min="9" style="0" width="12"/>
  </cols>
  <sheetData>
    <row r="1" customFormat="false" ht="17.35" hidden="false" customHeight="false" outlineLevel="0" collapsed="false">
      <c r="B1" s="1" t="s">
        <v>108</v>
      </c>
    </row>
    <row r="2" customFormat="false" ht="15" hidden="false" customHeight="false" outlineLevel="0" collapsed="false">
      <c r="B2" s="2" t="s">
        <v>109</v>
      </c>
    </row>
    <row r="4" customFormat="false" ht="15" hidden="false" customHeight="false" outlineLevel="0" collapsed="false">
      <c r="B4" s="3" t="s">
        <v>110</v>
      </c>
      <c r="C4" s="4"/>
      <c r="D4" s="4"/>
      <c r="E4" s="4"/>
      <c r="F4" s="4"/>
      <c r="G4" s="4"/>
      <c r="H4" s="4"/>
      <c r="I4" s="4"/>
      <c r="J4" s="4"/>
    </row>
    <row r="6" customFormat="false" ht="39.75" hidden="false" customHeight="true" outlineLevel="0" collapsed="false">
      <c r="B6" s="6" t="s">
        <v>32</v>
      </c>
      <c r="C6" s="6" t="s">
        <v>111</v>
      </c>
      <c r="D6" s="6" t="s">
        <v>112</v>
      </c>
      <c r="E6" s="6" t="s">
        <v>113</v>
      </c>
      <c r="F6" s="6" t="s">
        <v>114</v>
      </c>
      <c r="G6" s="6" t="s">
        <v>115</v>
      </c>
      <c r="H6" s="6" t="s">
        <v>116</v>
      </c>
      <c r="I6" s="6" t="s">
        <v>117</v>
      </c>
    </row>
    <row r="7" customFormat="false" ht="18" hidden="false" customHeight="true" outlineLevel="0" collapsed="false">
      <c r="B7" s="9" t="n">
        <v>1</v>
      </c>
      <c r="C7" s="9" t="s">
        <v>118</v>
      </c>
      <c r="D7" s="8" t="s">
        <v>119</v>
      </c>
      <c r="E7" s="11" t="n">
        <f aca="false">LEN(D7)</f>
        <v>25</v>
      </c>
      <c r="F7" s="11" t="n">
        <f aca="false">IF(C7="Headline",30,IF(C7="Description",90,15))</f>
        <v>30</v>
      </c>
      <c r="G7" s="11" t="str">
        <f aca="false">IF(E7&lt;=F7,"OK","TOO LONG")</f>
        <v>OK</v>
      </c>
      <c r="H7" s="18"/>
      <c r="I7" s="9" t="str">
        <f aca="false">IF(H7="","",LEN(H7))</f>
        <v/>
      </c>
    </row>
    <row r="8" customFormat="false" ht="18" hidden="false" customHeight="true" outlineLevel="0" collapsed="false">
      <c r="B8" s="9" t="n">
        <v>2</v>
      </c>
      <c r="C8" s="9" t="s">
        <v>118</v>
      </c>
      <c r="D8" s="8" t="s">
        <v>120</v>
      </c>
      <c r="E8" s="11"/>
      <c r="F8" s="11"/>
      <c r="G8" s="11"/>
      <c r="H8" s="18"/>
      <c r="I8" s="9" t="str">
        <f aca="false">IF(H8="","",LEN(H8))</f>
        <v/>
      </c>
    </row>
    <row r="9" customFormat="false" ht="18" hidden="false" customHeight="true" outlineLevel="0" collapsed="false">
      <c r="B9" s="9" t="n">
        <v>3</v>
      </c>
      <c r="C9" s="9" t="s">
        <v>118</v>
      </c>
      <c r="D9" s="8" t="s">
        <v>121</v>
      </c>
      <c r="E9" s="11"/>
      <c r="F9" s="11"/>
      <c r="G9" s="11"/>
      <c r="H9" s="18"/>
      <c r="I9" s="9" t="str">
        <f aca="false">IF(H9="","",LEN(H9))</f>
        <v/>
      </c>
    </row>
    <row r="10" customFormat="false" ht="18" hidden="false" customHeight="true" outlineLevel="0" collapsed="false">
      <c r="B10" s="9" t="n">
        <v>4</v>
      </c>
      <c r="C10" s="9" t="s">
        <v>118</v>
      </c>
      <c r="D10" s="8" t="s">
        <v>122</v>
      </c>
      <c r="E10" s="11"/>
      <c r="F10" s="11"/>
      <c r="G10" s="11"/>
      <c r="H10" s="18"/>
      <c r="I10" s="9" t="str">
        <f aca="false">IF(H10="","",LEN(H10))</f>
        <v/>
      </c>
    </row>
    <row r="11" customFormat="false" ht="18" hidden="false" customHeight="true" outlineLevel="0" collapsed="false">
      <c r="B11" s="9" t="n">
        <v>5</v>
      </c>
      <c r="C11" s="9" t="s">
        <v>118</v>
      </c>
      <c r="D11" s="8" t="s">
        <v>123</v>
      </c>
      <c r="E11" s="11"/>
      <c r="F11" s="11"/>
      <c r="G11" s="11"/>
      <c r="H11" s="18"/>
      <c r="I11" s="9" t="str">
        <f aca="false">IF(H11="","",LEN(H11))</f>
        <v/>
      </c>
    </row>
    <row r="12" customFormat="false" ht="18" hidden="false" customHeight="true" outlineLevel="0" collapsed="false">
      <c r="B12" s="9" t="n">
        <v>6</v>
      </c>
      <c r="C12" s="9" t="s">
        <v>118</v>
      </c>
      <c r="D12" s="8" t="s">
        <v>124</v>
      </c>
      <c r="E12" s="11"/>
      <c r="F12" s="11"/>
      <c r="G12" s="11"/>
      <c r="H12" s="18"/>
      <c r="I12" s="9" t="str">
        <f aca="false">IF(H12="","",LEN(H12))</f>
        <v/>
      </c>
    </row>
    <row r="13" customFormat="false" ht="30" hidden="false" customHeight="true" outlineLevel="0" collapsed="false">
      <c r="B13" s="9" t="n">
        <v>7</v>
      </c>
      <c r="C13" s="9" t="s">
        <v>125</v>
      </c>
      <c r="D13" s="8" t="s">
        <v>126</v>
      </c>
      <c r="E13" s="11"/>
      <c r="F13" s="11"/>
      <c r="G13" s="11"/>
      <c r="H13" s="18"/>
      <c r="I13" s="9" t="str">
        <f aca="false">IF(H13="","",LEN(H13))</f>
        <v/>
      </c>
    </row>
    <row r="14" customFormat="false" ht="30" hidden="false" customHeight="true" outlineLevel="0" collapsed="false">
      <c r="B14" s="9" t="n">
        <v>8</v>
      </c>
      <c r="C14" s="9" t="s">
        <v>125</v>
      </c>
      <c r="D14" s="8" t="s">
        <v>127</v>
      </c>
      <c r="E14" s="11"/>
      <c r="F14" s="11"/>
      <c r="G14" s="11"/>
      <c r="H14" s="18"/>
      <c r="I14" s="9" t="str">
        <f aca="false">IF(H14="","",LEN(H14))</f>
        <v/>
      </c>
    </row>
    <row r="15" customFormat="false" ht="18" hidden="false" customHeight="true" outlineLevel="0" collapsed="false">
      <c r="B15" s="9" t="n">
        <v>9</v>
      </c>
      <c r="C15" s="9" t="s">
        <v>128</v>
      </c>
      <c r="D15" s="8" t="s">
        <v>129</v>
      </c>
      <c r="E15" s="11"/>
      <c r="F15" s="11"/>
      <c r="G15" s="11"/>
      <c r="H15" s="18"/>
      <c r="I15" s="9" t="str">
        <f aca="false">IF(H15="","",LEN(H15))</f>
        <v/>
      </c>
    </row>
    <row r="16" customFormat="false" ht="18" hidden="false" customHeight="true" outlineLevel="0" collapsed="false">
      <c r="B16" s="9" t="n">
        <v>10</v>
      </c>
      <c r="C16" s="9" t="s">
        <v>128</v>
      </c>
      <c r="D16" s="8" t="s">
        <v>130</v>
      </c>
      <c r="E16" s="11"/>
      <c r="F16" s="11"/>
      <c r="G16" s="11"/>
      <c r="H16" s="18"/>
      <c r="I16" s="9" t="str">
        <f aca="false">IF(H16="","",LEN(H16))</f>
        <v/>
      </c>
    </row>
    <row r="17" customFormat="false" ht="30" hidden="false" customHeight="true" outlineLevel="0" collapsed="false">
      <c r="B17" s="8" t="s">
        <v>131</v>
      </c>
      <c r="C17" s="8"/>
      <c r="D17" s="8"/>
      <c r="E17" s="8"/>
      <c r="F17" s="8"/>
      <c r="G17" s="11"/>
      <c r="H17" s="11"/>
      <c r="I17" s="11"/>
    </row>
    <row r="19" customFormat="false" ht="15" hidden="false" customHeight="false" outlineLevel="0" collapsed="false">
      <c r="B19" s="3" t="s">
        <v>132</v>
      </c>
      <c r="C19" s="4"/>
      <c r="D19" s="4"/>
      <c r="E19" s="4"/>
      <c r="F19" s="4"/>
      <c r="G19" s="4"/>
      <c r="H19" s="4"/>
      <c r="I19" s="4"/>
      <c r="J19" s="4"/>
    </row>
    <row r="20" customFormat="false" ht="39.75" hidden="false" customHeight="true" outlineLevel="0" collapsed="false">
      <c r="B20" s="6" t="s">
        <v>32</v>
      </c>
      <c r="C20" s="6" t="s">
        <v>111</v>
      </c>
      <c r="D20" s="6" t="s">
        <v>133</v>
      </c>
      <c r="E20" s="6" t="s">
        <v>134</v>
      </c>
      <c r="F20" s="6" t="s">
        <v>135</v>
      </c>
      <c r="G20" s="6" t="s">
        <v>136</v>
      </c>
    </row>
    <row r="21" customFormat="false" ht="18" hidden="false" customHeight="true" outlineLevel="0" collapsed="false">
      <c r="B21" s="9" t="n">
        <v>1</v>
      </c>
      <c r="C21" s="9" t="s">
        <v>118</v>
      </c>
      <c r="D21" s="18"/>
      <c r="E21" s="9" t="n">
        <f aca="false">LEN(D21)</f>
        <v>0</v>
      </c>
      <c r="F21" s="9" t="n">
        <f aca="false">IF(C21="Headline",30,IF(C21="Description",90,15))</f>
        <v>30</v>
      </c>
      <c r="G21" s="9" t="str">
        <f aca="false">IF(D21="","",IF(E21&lt;=F21,"OK","TOO LONG"))</f>
        <v/>
      </c>
    </row>
    <row r="22" customFormat="false" ht="18" hidden="false" customHeight="true" outlineLevel="0" collapsed="false">
      <c r="B22" s="9" t="n">
        <v>2</v>
      </c>
      <c r="C22" s="9" t="s">
        <v>118</v>
      </c>
      <c r="D22" s="18"/>
      <c r="E22" s="9" t="n">
        <f aca="false">LEN(D22)</f>
        <v>0</v>
      </c>
      <c r="F22" s="9" t="n">
        <f aca="false">IF(C22="Headline",30,IF(C22="Description",90,15))</f>
        <v>30</v>
      </c>
      <c r="G22" s="9" t="str">
        <f aca="false">IF(D22="","",IF(E22&lt;=F22,"OK","TOO LONG"))</f>
        <v/>
      </c>
    </row>
    <row r="23" customFormat="false" ht="18" hidden="false" customHeight="true" outlineLevel="0" collapsed="false">
      <c r="B23" s="9" t="n">
        <v>3</v>
      </c>
      <c r="C23" s="9" t="s">
        <v>118</v>
      </c>
      <c r="D23" s="18"/>
      <c r="E23" s="9" t="n">
        <f aca="false">LEN(D23)</f>
        <v>0</v>
      </c>
      <c r="F23" s="9" t="n">
        <f aca="false">IF(C23="Headline",30,IF(C23="Description",90,15))</f>
        <v>30</v>
      </c>
      <c r="G23" s="9" t="str">
        <f aca="false">IF(D23="","",IF(E23&lt;=F23,"OK","TOO LONG"))</f>
        <v/>
      </c>
    </row>
    <row r="24" customFormat="false" ht="18" hidden="false" customHeight="true" outlineLevel="0" collapsed="false">
      <c r="B24" s="9" t="n">
        <v>4</v>
      </c>
      <c r="C24" s="9" t="s">
        <v>118</v>
      </c>
      <c r="D24" s="18"/>
      <c r="E24" s="9" t="n">
        <f aca="false">LEN(D24)</f>
        <v>0</v>
      </c>
      <c r="F24" s="9" t="n">
        <f aca="false">IF(C24="Headline",30,IF(C24="Description",90,15))</f>
        <v>30</v>
      </c>
      <c r="G24" s="9" t="str">
        <f aca="false">IF(D24="","",IF(E24&lt;=F24,"OK","TOO LONG"))</f>
        <v/>
      </c>
    </row>
    <row r="25" customFormat="false" ht="18" hidden="false" customHeight="true" outlineLevel="0" collapsed="false">
      <c r="B25" s="9" t="n">
        <v>5</v>
      </c>
      <c r="C25" s="9" t="s">
        <v>118</v>
      </c>
      <c r="D25" s="18"/>
      <c r="E25" s="9" t="n">
        <f aca="false">LEN(D25)</f>
        <v>0</v>
      </c>
      <c r="F25" s="9" t="n">
        <f aca="false">IF(C25="Headline",30,IF(C25="Description",90,15))</f>
        <v>30</v>
      </c>
      <c r="G25" s="9" t="str">
        <f aca="false">IF(D25="","",IF(E25&lt;=F25,"OK","TOO LONG"))</f>
        <v/>
      </c>
    </row>
    <row r="26" customFormat="false" ht="18" hidden="false" customHeight="true" outlineLevel="0" collapsed="false">
      <c r="B26" s="9" t="n">
        <v>6</v>
      </c>
      <c r="C26" s="9" t="s">
        <v>118</v>
      </c>
      <c r="D26" s="18"/>
      <c r="E26" s="9" t="n">
        <f aca="false">LEN(D26)</f>
        <v>0</v>
      </c>
      <c r="F26" s="9" t="n">
        <f aca="false">IF(C26="Headline",30,IF(C26="Description",90,15))</f>
        <v>30</v>
      </c>
      <c r="G26" s="9" t="str">
        <f aca="false">IF(D26="","",IF(E26&lt;=F26,"OK","TOO LONG"))</f>
        <v/>
      </c>
    </row>
    <row r="27" customFormat="false" ht="18" hidden="false" customHeight="true" outlineLevel="0" collapsed="false">
      <c r="B27" s="9" t="n">
        <v>7</v>
      </c>
      <c r="C27" s="9" t="s">
        <v>118</v>
      </c>
      <c r="D27" s="18"/>
      <c r="E27" s="9" t="n">
        <f aca="false">LEN(D27)</f>
        <v>0</v>
      </c>
      <c r="F27" s="9" t="n">
        <f aca="false">IF(C27="Headline",30,IF(C27="Description",90,15))</f>
        <v>30</v>
      </c>
      <c r="G27" s="9" t="str">
        <f aca="false">IF(D27="","",IF(E27&lt;=F27,"OK","TOO LONG"))</f>
        <v/>
      </c>
    </row>
    <row r="28" customFormat="false" ht="18" hidden="false" customHeight="true" outlineLevel="0" collapsed="false">
      <c r="B28" s="9" t="n">
        <v>8</v>
      </c>
      <c r="C28" s="9" t="s">
        <v>118</v>
      </c>
      <c r="D28" s="18"/>
      <c r="E28" s="9" t="n">
        <f aca="false">LEN(D28)</f>
        <v>0</v>
      </c>
      <c r="F28" s="9" t="n">
        <f aca="false">IF(C28="Headline",30,IF(C28="Description",90,15))</f>
        <v>30</v>
      </c>
      <c r="G28" s="9" t="str">
        <f aca="false">IF(D28="","",IF(E28&lt;=F28,"OK","TOO LONG"))</f>
        <v/>
      </c>
    </row>
    <row r="29" customFormat="false" ht="18" hidden="false" customHeight="true" outlineLevel="0" collapsed="false">
      <c r="B29" s="9" t="n">
        <v>9</v>
      </c>
      <c r="C29" s="9" t="s">
        <v>118</v>
      </c>
      <c r="D29" s="18"/>
      <c r="E29" s="9" t="n">
        <f aca="false">LEN(D29)</f>
        <v>0</v>
      </c>
      <c r="F29" s="9" t="n">
        <f aca="false">IF(C29="Headline",30,IF(C29="Description",90,15))</f>
        <v>30</v>
      </c>
      <c r="G29" s="9" t="str">
        <f aca="false">IF(D29="","",IF(E29&lt;=F29,"OK","TOO LONG"))</f>
        <v/>
      </c>
    </row>
    <row r="30" customFormat="false" ht="18" hidden="false" customHeight="true" outlineLevel="0" collapsed="false">
      <c r="B30" s="9" t="n">
        <v>10</v>
      </c>
      <c r="C30" s="9" t="s">
        <v>118</v>
      </c>
      <c r="D30" s="18"/>
      <c r="E30" s="9" t="n">
        <f aca="false">LEN(D30)</f>
        <v>0</v>
      </c>
      <c r="F30" s="9" t="n">
        <f aca="false">IF(C30="Headline",30,IF(C30="Description",90,15))</f>
        <v>30</v>
      </c>
      <c r="G30" s="9" t="str">
        <f aca="false">IF(D30="","",IF(E30&lt;=F30,"OK","TOO LONG"))</f>
        <v/>
      </c>
    </row>
    <row r="31" customFormat="false" ht="30" hidden="false" customHeight="true" outlineLevel="0" collapsed="false">
      <c r="B31" s="9" t="n">
        <v>11</v>
      </c>
      <c r="C31" s="9" t="s">
        <v>125</v>
      </c>
      <c r="D31" s="18"/>
      <c r="E31" s="9" t="n">
        <f aca="false">LEN(D31)</f>
        <v>0</v>
      </c>
      <c r="F31" s="9" t="n">
        <f aca="false">IF(C31="Headline",30,IF(C31="Description",90,15))</f>
        <v>90</v>
      </c>
      <c r="G31" s="9" t="str">
        <f aca="false">IF(D31="","",IF(E31&lt;=F31,"OK","TOO LONG"))</f>
        <v/>
      </c>
    </row>
    <row r="32" customFormat="false" ht="30" hidden="false" customHeight="true" outlineLevel="0" collapsed="false">
      <c r="B32" s="9" t="n">
        <v>12</v>
      </c>
      <c r="C32" s="9" t="s">
        <v>125</v>
      </c>
      <c r="D32" s="18"/>
      <c r="E32" s="9" t="n">
        <f aca="false">LEN(D32)</f>
        <v>0</v>
      </c>
      <c r="F32" s="9" t="n">
        <f aca="false">IF(C32="Headline",30,IF(C32="Description",90,15))</f>
        <v>90</v>
      </c>
      <c r="G32" s="9" t="str">
        <f aca="false">IF(D32="","",IF(E32&lt;=F32,"OK","TOO LONG"))</f>
        <v/>
      </c>
    </row>
    <row r="33" customFormat="false" ht="30" hidden="false" customHeight="true" outlineLevel="0" collapsed="false">
      <c r="B33" s="9" t="n">
        <v>13</v>
      </c>
      <c r="C33" s="9" t="s">
        <v>125</v>
      </c>
      <c r="D33" s="18"/>
      <c r="E33" s="9" t="n">
        <f aca="false">LEN(D33)</f>
        <v>0</v>
      </c>
      <c r="F33" s="9" t="n">
        <f aca="false">IF(C33="Headline",30,IF(C33="Description",90,15))</f>
        <v>90</v>
      </c>
      <c r="G33" s="9" t="str">
        <f aca="false">IF(D33="","",IF(E33&lt;=F33,"OK","TOO LONG"))</f>
        <v/>
      </c>
    </row>
    <row r="34" customFormat="false" ht="18" hidden="false" customHeight="true" outlineLevel="0" collapsed="false">
      <c r="B34" s="9" t="n">
        <v>14</v>
      </c>
      <c r="C34" s="9" t="s">
        <v>128</v>
      </c>
      <c r="D34" s="18"/>
      <c r="E34" s="9" t="n">
        <f aca="false">LEN(D34)</f>
        <v>0</v>
      </c>
      <c r="F34" s="9" t="n">
        <f aca="false">IF(C34="Headline",30,IF(C34="Description",90,15))</f>
        <v>15</v>
      </c>
      <c r="G34" s="9" t="str">
        <f aca="false">IF(D34="","",IF(E34&lt;=F34,"OK","TOO LONG"))</f>
        <v/>
      </c>
    </row>
    <row r="35" customFormat="false" ht="18" hidden="false" customHeight="true" outlineLevel="0" collapsed="false">
      <c r="B35" s="9" t="n">
        <v>15</v>
      </c>
      <c r="C35" s="9" t="s">
        <v>128</v>
      </c>
      <c r="D35" s="18"/>
      <c r="E35" s="9" t="n">
        <f aca="false">LEN(D35)</f>
        <v>0</v>
      </c>
      <c r="F35" s="9" t="n">
        <f aca="false">IF(C35="Headline",30,IF(C35="Description",90,15))</f>
        <v>15</v>
      </c>
      <c r="G35" s="9" t="str">
        <f aca="false">IF(D35="","",IF(E35&lt;=F35,"OK","TOO LONG"))</f>
        <v/>
      </c>
    </row>
    <row r="37" customFormat="false" ht="30" hidden="false" customHeight="true" outlineLevel="0" collapsed="false">
      <c r="B37" s="8" t="s">
        <v>137</v>
      </c>
      <c r="C37" s="8"/>
      <c r="D37" s="8"/>
      <c r="E37" s="8"/>
      <c r="F37" s="8"/>
      <c r="G37" s="11"/>
      <c r="H37" s="11"/>
      <c r="I37" s="11"/>
    </row>
    <row r="38" customFormat="false" ht="49.5" hidden="false" customHeight="true" outlineLevel="0" collapsed="false">
      <c r="B38" s="8" t="s">
        <v>138</v>
      </c>
      <c r="C38" s="8"/>
      <c r="D38" s="8"/>
      <c r="E38" s="8"/>
      <c r="F38" s="8"/>
      <c r="G38" s="18"/>
      <c r="H38" s="18"/>
      <c r="I38" s="18"/>
    </row>
    <row r="40" customFormat="false" ht="15" hidden="false" customHeight="false" outlineLevel="0" collapsed="false">
      <c r="B40" s="13" t="s">
        <v>139</v>
      </c>
    </row>
  </sheetData>
  <mergeCells count="6">
    <mergeCell ref="B17:F17"/>
    <mergeCell ref="G17:I17"/>
    <mergeCell ref="B37:F37"/>
    <mergeCell ref="G37:I37"/>
    <mergeCell ref="B38:F38"/>
    <mergeCell ref="G38: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18"/>
  </cols>
  <sheetData>
    <row r="1" customFormat="false" ht="17.35" hidden="false" customHeight="false" outlineLevel="0" collapsed="false">
      <c r="B1" s="1" t="s">
        <v>140</v>
      </c>
    </row>
    <row r="2" customFormat="false" ht="15" hidden="false" customHeight="false" outlineLevel="0" collapsed="false">
      <c r="B2" s="2" t="s">
        <v>141</v>
      </c>
    </row>
    <row r="4" customFormat="false" ht="39.75" hidden="false" customHeight="true" outlineLevel="0" collapsed="false">
      <c r="B4" s="6" t="s">
        <v>32</v>
      </c>
      <c r="C4" s="6" t="s">
        <v>142</v>
      </c>
      <c r="D4" s="6" t="s">
        <v>143</v>
      </c>
      <c r="E4" s="6" t="s">
        <v>38</v>
      </c>
      <c r="F4" s="6" t="s">
        <v>144</v>
      </c>
      <c r="G4" s="6" t="s">
        <v>145</v>
      </c>
      <c r="H4" s="6" t="s">
        <v>146</v>
      </c>
      <c r="I4" s="6" t="s">
        <v>147</v>
      </c>
      <c r="J4" s="6" t="s">
        <v>148</v>
      </c>
      <c r="K4" s="6" t="s">
        <v>149</v>
      </c>
      <c r="L4" s="6" t="s">
        <v>150</v>
      </c>
      <c r="M4" s="6" t="s">
        <v>95</v>
      </c>
      <c r="N4" s="6" t="s">
        <v>151</v>
      </c>
    </row>
    <row r="5" customFormat="false" ht="15" hidden="false" customHeight="false" outlineLevel="0" collapsed="false">
      <c r="B5" s="9" t="n">
        <v>1</v>
      </c>
      <c r="C5" s="9" t="s">
        <v>40</v>
      </c>
      <c r="D5" s="9" t="s">
        <v>152</v>
      </c>
      <c r="E5" s="9" t="s">
        <v>42</v>
      </c>
      <c r="F5" s="14" t="n">
        <v>1850</v>
      </c>
      <c r="G5" s="14" t="n">
        <v>159</v>
      </c>
      <c r="H5" s="14" t="n">
        <v>4492</v>
      </c>
      <c r="I5" s="14" t="n">
        <v>17</v>
      </c>
      <c r="J5" s="17" t="n">
        <f aca="false">G5/F5</f>
        <v>0.0859459459459459</v>
      </c>
      <c r="K5" s="16" t="n">
        <f aca="false">H5/G5</f>
        <v>28.251572327044</v>
      </c>
      <c r="L5" s="17" t="n">
        <f aca="false">I5/G5</f>
        <v>0.106918238993711</v>
      </c>
      <c r="M5" s="15" t="n">
        <f aca="false">IFERROR(H5/I5,"–")</f>
        <v>264.235294117647</v>
      </c>
      <c r="N5" s="11" t="s">
        <v>153</v>
      </c>
    </row>
    <row r="6" customFormat="false" ht="15" hidden="false" customHeight="false" outlineLevel="0" collapsed="false">
      <c r="B6" s="9" t="n">
        <v>2</v>
      </c>
      <c r="C6" s="9" t="s">
        <v>45</v>
      </c>
      <c r="D6" s="9" t="s">
        <v>154</v>
      </c>
      <c r="E6" s="9" t="s">
        <v>155</v>
      </c>
      <c r="F6" s="14" t="n">
        <v>520</v>
      </c>
      <c r="G6" s="14" t="n">
        <v>51</v>
      </c>
      <c r="H6" s="14" t="n">
        <v>1737</v>
      </c>
      <c r="I6" s="14" t="n">
        <v>6</v>
      </c>
      <c r="J6" s="17"/>
      <c r="K6" s="16"/>
      <c r="L6" s="17"/>
      <c r="M6" s="15"/>
      <c r="N6" s="11"/>
    </row>
    <row r="7" customFormat="false" ht="15" hidden="false" customHeight="false" outlineLevel="0" collapsed="false">
      <c r="B7" s="9" t="n">
        <v>3</v>
      </c>
      <c r="C7" s="9" t="s">
        <v>156</v>
      </c>
      <c r="D7" s="9" t="s">
        <v>152</v>
      </c>
      <c r="E7" s="9" t="s">
        <v>42</v>
      </c>
      <c r="F7" s="14" t="n">
        <v>310</v>
      </c>
      <c r="G7" s="14" t="n">
        <v>26</v>
      </c>
      <c r="H7" s="14" t="n">
        <v>776</v>
      </c>
      <c r="I7" s="14" t="n">
        <v>3</v>
      </c>
      <c r="J7" s="17"/>
      <c r="K7" s="16"/>
      <c r="L7" s="17"/>
      <c r="M7" s="15"/>
      <c r="N7" s="11"/>
    </row>
    <row r="8" customFormat="false" ht="15" hidden="false" customHeight="false" outlineLevel="0" collapsed="false">
      <c r="B8" s="9" t="n">
        <v>4</v>
      </c>
      <c r="C8" s="9" t="s">
        <v>51</v>
      </c>
      <c r="D8" s="9" t="s">
        <v>157</v>
      </c>
      <c r="E8" s="9" t="s">
        <v>42</v>
      </c>
      <c r="F8" s="14" t="n">
        <v>240</v>
      </c>
      <c r="G8" s="14" t="n">
        <v>13</v>
      </c>
      <c r="H8" s="14" t="n">
        <v>168</v>
      </c>
      <c r="I8" s="14" t="n">
        <v>0</v>
      </c>
      <c r="J8" s="17"/>
      <c r="K8" s="16"/>
      <c r="L8" s="17"/>
      <c r="M8" s="15"/>
      <c r="N8" s="11"/>
    </row>
    <row r="9" customFormat="false" ht="15" hidden="false" customHeight="false" outlineLevel="0" collapsed="false">
      <c r="B9" s="9" t="n">
        <v>5</v>
      </c>
      <c r="C9" s="9" t="s">
        <v>44</v>
      </c>
      <c r="D9" s="9" t="s">
        <v>158</v>
      </c>
      <c r="E9" s="9" t="s">
        <v>42</v>
      </c>
      <c r="F9" s="14" t="n">
        <v>1420</v>
      </c>
      <c r="G9" s="14" t="n">
        <v>94</v>
      </c>
      <c r="H9" s="14" t="n">
        <v>1614</v>
      </c>
      <c r="I9" s="14" t="n">
        <v>5</v>
      </c>
      <c r="J9" s="17"/>
      <c r="K9" s="16"/>
      <c r="L9" s="17"/>
      <c r="M9" s="15"/>
      <c r="N9" s="11"/>
    </row>
    <row r="10" customFormat="false" ht="15" hidden="false" customHeight="false" outlineLevel="0" collapsed="false">
      <c r="B10" s="9" t="n">
        <v>6</v>
      </c>
      <c r="C10" s="9" t="s">
        <v>159</v>
      </c>
      <c r="D10" s="9" t="s">
        <v>160</v>
      </c>
      <c r="E10" s="9" t="s">
        <v>161</v>
      </c>
      <c r="F10" s="14" t="n">
        <v>880</v>
      </c>
      <c r="G10" s="14" t="n">
        <v>26</v>
      </c>
      <c r="H10" s="14" t="n">
        <v>230</v>
      </c>
      <c r="I10" s="14" t="n">
        <v>0</v>
      </c>
      <c r="J10" s="17"/>
      <c r="K10" s="16"/>
      <c r="L10" s="17"/>
      <c r="M10" s="15"/>
      <c r="N10" s="11"/>
    </row>
    <row r="11" customFormat="false" ht="15" hidden="false" customHeight="false" outlineLevel="0" collapsed="false">
      <c r="B11" s="9" t="n">
        <v>7</v>
      </c>
      <c r="C11" s="9" t="s">
        <v>162</v>
      </c>
      <c r="D11" s="9" t="s">
        <v>163</v>
      </c>
      <c r="E11" s="9" t="s">
        <v>42</v>
      </c>
      <c r="F11" s="14" t="n">
        <v>640</v>
      </c>
      <c r="G11" s="14" t="n">
        <v>46</v>
      </c>
      <c r="H11" s="14" t="n">
        <v>1305</v>
      </c>
      <c r="I11" s="14" t="n">
        <v>5</v>
      </c>
      <c r="J11" s="17"/>
      <c r="K11" s="16"/>
      <c r="L11" s="17"/>
      <c r="M11" s="15"/>
      <c r="N11" s="11"/>
    </row>
    <row r="12" customFormat="false" ht="15" hidden="false" customHeight="false" outlineLevel="0" collapsed="false">
      <c r="B12" s="9" t="n">
        <v>8</v>
      </c>
      <c r="C12" s="9" t="s">
        <v>46</v>
      </c>
      <c r="D12" s="9" t="s">
        <v>164</v>
      </c>
      <c r="E12" s="9" t="s">
        <v>42</v>
      </c>
      <c r="F12" s="14" t="n">
        <v>290</v>
      </c>
      <c r="G12" s="14" t="n">
        <v>20</v>
      </c>
      <c r="H12" s="14" t="n">
        <v>611</v>
      </c>
      <c r="I12" s="14" t="n">
        <v>2</v>
      </c>
      <c r="J12" s="17"/>
      <c r="K12" s="16"/>
      <c r="L12" s="17"/>
      <c r="M12" s="15"/>
      <c r="N12" s="11"/>
    </row>
    <row r="13" customFormat="false" ht="15" hidden="false" customHeight="false" outlineLevel="0" collapsed="false">
      <c r="B13" s="9" t="n">
        <v>9</v>
      </c>
      <c r="C13" s="9" t="s">
        <v>165</v>
      </c>
      <c r="D13" s="9" t="s">
        <v>160</v>
      </c>
      <c r="E13" s="9" t="s">
        <v>161</v>
      </c>
      <c r="F13" s="14" t="n">
        <v>210</v>
      </c>
      <c r="G13" s="14" t="n">
        <v>8</v>
      </c>
      <c r="H13" s="14" t="n">
        <v>106</v>
      </c>
      <c r="I13" s="14" t="n">
        <v>0</v>
      </c>
      <c r="J13" s="17"/>
      <c r="K13" s="16"/>
      <c r="L13" s="17"/>
      <c r="M13" s="15"/>
      <c r="N13" s="11"/>
    </row>
    <row r="14" customFormat="false" ht="15" hidden="false" customHeight="false" outlineLevel="0" collapsed="false">
      <c r="B14" s="9" t="n">
        <v>10</v>
      </c>
      <c r="C14" s="9" t="s">
        <v>50</v>
      </c>
      <c r="D14" s="9" t="s">
        <v>166</v>
      </c>
      <c r="E14" s="9" t="s">
        <v>155</v>
      </c>
      <c r="F14" s="14" t="n">
        <v>180</v>
      </c>
      <c r="G14" s="14" t="n">
        <v>19</v>
      </c>
      <c r="H14" s="14" t="n">
        <v>577</v>
      </c>
      <c r="I14" s="14" t="n">
        <v>2</v>
      </c>
      <c r="J14" s="17"/>
      <c r="K14" s="16"/>
      <c r="L14" s="17"/>
      <c r="M14" s="15"/>
      <c r="N14" s="11"/>
    </row>
    <row r="15" customFormat="false" ht="15" hidden="false" customHeight="false" outlineLevel="0" collapsed="false">
      <c r="B15" s="9" t="n">
        <v>11</v>
      </c>
      <c r="C15" s="9" t="s">
        <v>167</v>
      </c>
      <c r="D15" s="9" t="s">
        <v>152</v>
      </c>
      <c r="E15" s="9" t="s">
        <v>42</v>
      </c>
      <c r="F15" s="14" t="n">
        <v>260</v>
      </c>
      <c r="G15" s="14" t="n">
        <v>21</v>
      </c>
      <c r="H15" s="14" t="n">
        <v>559</v>
      </c>
      <c r="I15" s="14" t="n">
        <v>2</v>
      </c>
      <c r="J15" s="17"/>
      <c r="K15" s="16"/>
      <c r="L15" s="17"/>
      <c r="M15" s="15"/>
      <c r="N15" s="11"/>
    </row>
    <row r="16" customFormat="false" ht="15" hidden="false" customHeight="false" outlineLevel="0" collapsed="false">
      <c r="B16" s="9" t="n">
        <v>12</v>
      </c>
      <c r="C16" s="9" t="s">
        <v>168</v>
      </c>
      <c r="D16" s="9" t="s">
        <v>160</v>
      </c>
      <c r="E16" s="9" t="s">
        <v>161</v>
      </c>
      <c r="F16" s="14" t="n">
        <v>330</v>
      </c>
      <c r="G16" s="14" t="n">
        <v>10</v>
      </c>
      <c r="H16" s="14" t="n">
        <v>77</v>
      </c>
      <c r="I16" s="14" t="n">
        <v>0</v>
      </c>
      <c r="J16" s="17"/>
      <c r="K16" s="16"/>
      <c r="L16" s="17"/>
      <c r="M16" s="15"/>
      <c r="N16" s="11"/>
    </row>
    <row r="17" customFormat="false" ht="15" hidden="false" customHeight="false" outlineLevel="0" collapsed="false">
      <c r="B17" s="9" t="n">
        <v>13</v>
      </c>
      <c r="C17" s="9" t="s">
        <v>169</v>
      </c>
      <c r="D17" s="9" t="s">
        <v>157</v>
      </c>
      <c r="E17" s="9" t="s">
        <v>42</v>
      </c>
      <c r="F17" s="14" t="n">
        <v>60</v>
      </c>
      <c r="G17" s="14" t="n">
        <v>3</v>
      </c>
      <c r="H17" s="14" t="n">
        <v>61</v>
      </c>
      <c r="I17" s="14" t="n">
        <v>0</v>
      </c>
      <c r="J17" s="17"/>
      <c r="K17" s="16"/>
      <c r="L17" s="17"/>
      <c r="M17" s="15"/>
      <c r="N17" s="11"/>
    </row>
    <row r="18" customFormat="false" ht="15" hidden="false" customHeight="false" outlineLevel="0" collapsed="false">
      <c r="B18" s="9" t="n">
        <v>14</v>
      </c>
      <c r="C18" s="9" t="s">
        <v>170</v>
      </c>
      <c r="D18" s="9" t="s">
        <v>157</v>
      </c>
      <c r="E18" s="9" t="s">
        <v>42</v>
      </c>
      <c r="F18" s="14" t="n">
        <v>95</v>
      </c>
      <c r="G18" s="14" t="n">
        <v>8</v>
      </c>
      <c r="H18" s="14" t="n">
        <v>81</v>
      </c>
      <c r="I18" s="14" t="n">
        <v>0</v>
      </c>
      <c r="J18" s="17"/>
      <c r="K18" s="16"/>
      <c r="L18" s="17"/>
      <c r="M18" s="15"/>
      <c r="N18" s="11"/>
    </row>
    <row r="19" customFormat="false" ht="15" hidden="false" customHeight="false" outlineLevel="0" collapsed="false">
      <c r="B19" s="9" t="n">
        <v>15</v>
      </c>
      <c r="C19" s="9" t="s">
        <v>171</v>
      </c>
      <c r="D19" s="9" t="s">
        <v>157</v>
      </c>
      <c r="E19" s="9" t="s">
        <v>42</v>
      </c>
      <c r="F19" s="14" t="n">
        <v>150</v>
      </c>
      <c r="G19" s="14" t="n">
        <v>10</v>
      </c>
      <c r="H19" s="14" t="n">
        <v>211</v>
      </c>
      <c r="I19" s="14" t="n">
        <v>0</v>
      </c>
      <c r="J19" s="17"/>
      <c r="K19" s="16"/>
      <c r="L19" s="17"/>
      <c r="M19" s="15"/>
      <c r="N19" s="11"/>
    </row>
    <row r="20" customFormat="false" ht="15" hidden="false" customHeight="false" outlineLevel="0" collapsed="false">
      <c r="B20" s="9" t="n">
        <v>16</v>
      </c>
      <c r="C20" s="9" t="s">
        <v>172</v>
      </c>
      <c r="D20" s="9" t="s">
        <v>173</v>
      </c>
      <c r="E20" s="9" t="s">
        <v>42</v>
      </c>
      <c r="F20" s="14" t="n">
        <v>85</v>
      </c>
      <c r="G20" s="14" t="n">
        <v>8</v>
      </c>
      <c r="H20" s="14" t="n">
        <v>210</v>
      </c>
      <c r="I20" s="14" t="n">
        <v>1</v>
      </c>
      <c r="J20" s="17"/>
      <c r="K20" s="16"/>
      <c r="L20" s="17"/>
      <c r="M20" s="15"/>
      <c r="N20" s="11"/>
    </row>
    <row r="21" customFormat="false" ht="15" hidden="false" customHeight="false" outlineLevel="0" collapsed="false">
      <c r="B21" s="9" t="n">
        <v>17</v>
      </c>
      <c r="C21" s="9" t="s">
        <v>174</v>
      </c>
      <c r="D21" s="9" t="s">
        <v>160</v>
      </c>
      <c r="E21" s="9" t="s">
        <v>161</v>
      </c>
      <c r="F21" s="14" t="n">
        <v>410</v>
      </c>
      <c r="G21" s="14" t="n">
        <v>8</v>
      </c>
      <c r="H21" s="14" t="n">
        <v>54</v>
      </c>
      <c r="I21" s="14" t="n">
        <v>0</v>
      </c>
      <c r="J21" s="17"/>
      <c r="K21" s="16"/>
      <c r="L21" s="17"/>
      <c r="M21" s="15"/>
      <c r="N21" s="11"/>
    </row>
    <row r="22" customFormat="false" ht="15" hidden="false" customHeight="false" outlineLevel="0" collapsed="false">
      <c r="B22" s="9" t="n">
        <v>18</v>
      </c>
      <c r="C22" s="9" t="s">
        <v>53</v>
      </c>
      <c r="D22" s="9" t="s">
        <v>175</v>
      </c>
      <c r="E22" s="9" t="s">
        <v>42</v>
      </c>
      <c r="F22" s="14" t="n">
        <v>760</v>
      </c>
      <c r="G22" s="14" t="n">
        <v>49</v>
      </c>
      <c r="H22" s="14" t="n">
        <v>758</v>
      </c>
      <c r="I22" s="14" t="n">
        <v>2</v>
      </c>
      <c r="J22" s="17"/>
      <c r="K22" s="16"/>
      <c r="L22" s="17"/>
      <c r="M22" s="15"/>
      <c r="N22" s="11"/>
    </row>
    <row r="23" customFormat="false" ht="15" hidden="false" customHeight="false" outlineLevel="0" collapsed="false">
      <c r="B23" s="9" t="n">
        <v>19</v>
      </c>
      <c r="C23" s="9" t="s">
        <v>176</v>
      </c>
      <c r="D23" s="9" t="s">
        <v>40</v>
      </c>
      <c r="E23" s="9" t="s">
        <v>161</v>
      </c>
      <c r="F23" s="14" t="n">
        <v>190</v>
      </c>
      <c r="G23" s="14" t="n">
        <v>8</v>
      </c>
      <c r="H23" s="14" t="n">
        <v>304</v>
      </c>
      <c r="I23" s="14" t="n">
        <v>0</v>
      </c>
      <c r="J23" s="17"/>
      <c r="K23" s="16"/>
      <c r="L23" s="17"/>
      <c r="M23" s="15"/>
      <c r="N23" s="11"/>
    </row>
    <row r="24" customFormat="false" ht="15" hidden="false" customHeight="false" outlineLevel="0" collapsed="false">
      <c r="B24" s="9" t="n">
        <v>20</v>
      </c>
      <c r="C24" s="9" t="s">
        <v>177</v>
      </c>
      <c r="D24" s="9" t="s">
        <v>178</v>
      </c>
      <c r="E24" s="9" t="s">
        <v>42</v>
      </c>
      <c r="F24" s="14" t="n">
        <v>120</v>
      </c>
      <c r="G24" s="14" t="n">
        <v>9</v>
      </c>
      <c r="H24" s="14" t="n">
        <v>177</v>
      </c>
      <c r="I24" s="14" t="n">
        <v>0</v>
      </c>
      <c r="J24" s="17"/>
      <c r="K24" s="16"/>
      <c r="L24" s="17"/>
      <c r="M24" s="15"/>
      <c r="N24" s="11"/>
    </row>
    <row r="25" customFormat="false" ht="15" hidden="false" customHeight="false" outlineLevel="0" collapsed="false">
      <c r="B25" s="9" t="n">
        <v>21</v>
      </c>
      <c r="C25" s="9" t="s">
        <v>179</v>
      </c>
      <c r="D25" s="9" t="s">
        <v>160</v>
      </c>
      <c r="E25" s="9" t="s">
        <v>161</v>
      </c>
      <c r="F25" s="14" t="n">
        <v>140</v>
      </c>
      <c r="G25" s="14" t="n">
        <v>3</v>
      </c>
      <c r="H25" s="14" t="n">
        <v>17</v>
      </c>
      <c r="I25" s="14" t="n">
        <v>0</v>
      </c>
      <c r="J25" s="17"/>
      <c r="K25" s="16"/>
      <c r="L25" s="17"/>
      <c r="M25" s="15"/>
      <c r="N25" s="11"/>
    </row>
    <row r="26" customFormat="false" ht="15" hidden="false" customHeight="false" outlineLevel="0" collapsed="false">
      <c r="B26" s="9" t="n">
        <v>22</v>
      </c>
      <c r="C26" s="9" t="s">
        <v>180</v>
      </c>
      <c r="D26" s="9" t="s">
        <v>152</v>
      </c>
      <c r="E26" s="9" t="s">
        <v>42</v>
      </c>
      <c r="F26" s="14" t="n">
        <v>230</v>
      </c>
      <c r="G26" s="14" t="n">
        <v>21</v>
      </c>
      <c r="H26" s="14" t="n">
        <v>734</v>
      </c>
      <c r="I26" s="14" t="n">
        <v>3</v>
      </c>
      <c r="J26" s="17"/>
      <c r="K26" s="16"/>
      <c r="L26" s="17"/>
      <c r="M26" s="15"/>
      <c r="N26" s="11"/>
    </row>
    <row r="27" customFormat="false" ht="15" hidden="false" customHeight="false" outlineLevel="0" collapsed="false">
      <c r="B27" s="9" t="n">
        <v>23</v>
      </c>
      <c r="C27" s="9" t="s">
        <v>49</v>
      </c>
      <c r="D27" s="9" t="s">
        <v>181</v>
      </c>
      <c r="E27" s="9" t="s">
        <v>42</v>
      </c>
      <c r="F27" s="14" t="n">
        <v>300</v>
      </c>
      <c r="G27" s="14" t="n">
        <v>18</v>
      </c>
      <c r="H27" s="14" t="n">
        <v>331</v>
      </c>
      <c r="I27" s="14" t="n">
        <v>1</v>
      </c>
      <c r="J27" s="17"/>
      <c r="K27" s="16"/>
      <c r="L27" s="17"/>
      <c r="M27" s="15"/>
      <c r="N27" s="11"/>
    </row>
    <row r="28" customFormat="false" ht="15" hidden="false" customHeight="false" outlineLevel="0" collapsed="false">
      <c r="B28" s="9" t="n">
        <v>24</v>
      </c>
      <c r="C28" s="9" t="s">
        <v>182</v>
      </c>
      <c r="D28" s="9" t="s">
        <v>157</v>
      </c>
      <c r="E28" s="9" t="s">
        <v>42</v>
      </c>
      <c r="F28" s="14" t="n">
        <v>70</v>
      </c>
      <c r="G28" s="14" t="n">
        <v>5</v>
      </c>
      <c r="H28" s="14" t="n">
        <v>90</v>
      </c>
      <c r="I28" s="14" t="n">
        <v>0</v>
      </c>
      <c r="J28" s="17"/>
      <c r="K28" s="16"/>
      <c r="L28" s="17"/>
      <c r="M28" s="15"/>
      <c r="N28" s="11"/>
    </row>
    <row r="29" customFormat="false" ht="15" hidden="false" customHeight="false" outlineLevel="0" collapsed="false">
      <c r="B29" s="9" t="n">
        <v>25</v>
      </c>
      <c r="C29" s="9" t="s">
        <v>183</v>
      </c>
      <c r="D29" s="9" t="s">
        <v>160</v>
      </c>
      <c r="E29" s="9" t="s">
        <v>161</v>
      </c>
      <c r="F29" s="14" t="n">
        <v>260</v>
      </c>
      <c r="G29" s="14" t="n">
        <v>14</v>
      </c>
      <c r="H29" s="14" t="n">
        <v>208</v>
      </c>
      <c r="I29" s="14" t="n">
        <v>0</v>
      </c>
      <c r="J29" s="17"/>
      <c r="K29" s="16"/>
      <c r="L29" s="17"/>
      <c r="M29" s="15"/>
      <c r="N29" s="11"/>
    </row>
    <row r="30" customFormat="false" ht="15" hidden="false" customHeight="false" outlineLevel="0" collapsed="false">
      <c r="B30" s="9" t="n">
        <v>26</v>
      </c>
      <c r="C30" s="9" t="s">
        <v>58</v>
      </c>
      <c r="D30" s="9" t="s">
        <v>184</v>
      </c>
      <c r="E30" s="9" t="s">
        <v>42</v>
      </c>
      <c r="F30" s="14" t="n">
        <v>110</v>
      </c>
      <c r="G30" s="14" t="n">
        <v>9</v>
      </c>
      <c r="H30" s="14" t="n">
        <v>238</v>
      </c>
      <c r="I30" s="14" t="n">
        <v>1</v>
      </c>
      <c r="J30" s="17"/>
      <c r="K30" s="16"/>
      <c r="L30" s="17"/>
      <c r="M30" s="15"/>
      <c r="N30" s="11"/>
    </row>
    <row r="31" customFormat="false" ht="15" hidden="false" customHeight="false" outlineLevel="0" collapsed="false">
      <c r="B31" s="9" t="n">
        <v>27</v>
      </c>
      <c r="C31" s="9" t="s">
        <v>185</v>
      </c>
      <c r="D31" s="9" t="s">
        <v>157</v>
      </c>
      <c r="E31" s="9" t="s">
        <v>42</v>
      </c>
      <c r="F31" s="14" t="n">
        <v>90</v>
      </c>
      <c r="G31" s="14" t="n">
        <v>5</v>
      </c>
      <c r="H31" s="14" t="n">
        <v>53</v>
      </c>
      <c r="I31" s="14" t="n">
        <v>0</v>
      </c>
      <c r="J31" s="17"/>
      <c r="K31" s="16"/>
      <c r="L31" s="17"/>
      <c r="M31" s="15"/>
      <c r="N31" s="11"/>
    </row>
    <row r="32" customFormat="false" ht="15" hidden="false" customHeight="false" outlineLevel="0" collapsed="false">
      <c r="B32" s="9" t="n">
        <v>28</v>
      </c>
      <c r="C32" s="9" t="s">
        <v>186</v>
      </c>
      <c r="D32" s="9" t="s">
        <v>187</v>
      </c>
      <c r="E32" s="9" t="s">
        <v>161</v>
      </c>
      <c r="F32" s="14" t="n">
        <v>120</v>
      </c>
      <c r="G32" s="14" t="n">
        <v>7</v>
      </c>
      <c r="H32" s="14" t="n">
        <v>90</v>
      </c>
      <c r="I32" s="14" t="n">
        <v>0</v>
      </c>
      <c r="J32" s="17"/>
      <c r="K32" s="16"/>
      <c r="L32" s="17"/>
      <c r="M32" s="15"/>
      <c r="N32" s="11"/>
    </row>
    <row r="33" customFormat="false" ht="15" hidden="false" customHeight="false" outlineLevel="0" collapsed="false">
      <c r="B33" s="9" t="n">
        <v>29</v>
      </c>
      <c r="C33" s="9" t="s">
        <v>188</v>
      </c>
      <c r="D33" s="9" t="s">
        <v>189</v>
      </c>
      <c r="E33" s="9" t="s">
        <v>155</v>
      </c>
      <c r="F33" s="14" t="n">
        <v>210</v>
      </c>
      <c r="G33" s="14" t="n">
        <v>21</v>
      </c>
      <c r="H33" s="14" t="n">
        <v>765</v>
      </c>
      <c r="I33" s="14" t="n">
        <v>3</v>
      </c>
      <c r="J33" s="17"/>
      <c r="K33" s="16"/>
      <c r="L33" s="17"/>
      <c r="M33" s="15"/>
      <c r="N33" s="11"/>
    </row>
    <row r="34" customFormat="false" ht="15" hidden="false" customHeight="false" outlineLevel="0" collapsed="false">
      <c r="B34" s="9" t="n">
        <v>30</v>
      </c>
      <c r="C34" s="9" t="s">
        <v>190</v>
      </c>
      <c r="D34" s="9" t="s">
        <v>157</v>
      </c>
      <c r="E34" s="9" t="s">
        <v>42</v>
      </c>
      <c r="F34" s="14" t="n">
        <v>130</v>
      </c>
      <c r="G34" s="14" t="n">
        <v>36</v>
      </c>
      <c r="H34" s="14" t="n">
        <v>227</v>
      </c>
      <c r="I34" s="14" t="n">
        <v>9</v>
      </c>
      <c r="J34" s="17"/>
      <c r="K34" s="16"/>
      <c r="L34" s="17"/>
      <c r="M34" s="15"/>
      <c r="N34" s="11"/>
    </row>
    <row r="35" customFormat="false" ht="15" hidden="false" customHeight="false" outlineLevel="0" collapsed="false">
      <c r="B35" s="9" t="n">
        <v>31</v>
      </c>
      <c r="C35" s="9" t="s">
        <v>191</v>
      </c>
      <c r="D35" s="9" t="s">
        <v>192</v>
      </c>
      <c r="E35" s="9" t="s">
        <v>42</v>
      </c>
      <c r="F35" s="14" t="n">
        <v>75</v>
      </c>
      <c r="G35" s="14" t="n">
        <v>5</v>
      </c>
      <c r="H35" s="14" t="n">
        <v>47</v>
      </c>
      <c r="I35" s="14" t="n">
        <v>0</v>
      </c>
      <c r="J35" s="17"/>
      <c r="K35" s="16"/>
      <c r="L35" s="17"/>
      <c r="M35" s="15"/>
      <c r="N35" s="11"/>
    </row>
    <row r="36" customFormat="false" ht="15" hidden="false" customHeight="false" outlineLevel="0" collapsed="false">
      <c r="B36" s="9" t="n">
        <v>32</v>
      </c>
      <c r="C36" s="9" t="s">
        <v>69</v>
      </c>
      <c r="D36" s="9" t="s">
        <v>158</v>
      </c>
      <c r="E36" s="9" t="s">
        <v>42</v>
      </c>
      <c r="F36" s="14" t="n">
        <v>260</v>
      </c>
      <c r="G36" s="14" t="n">
        <v>17</v>
      </c>
      <c r="H36" s="14" t="n">
        <v>276</v>
      </c>
      <c r="I36" s="14" t="n">
        <v>1</v>
      </c>
      <c r="J36" s="17"/>
      <c r="K36" s="16"/>
      <c r="L36" s="17"/>
      <c r="M36" s="15"/>
      <c r="N36" s="11"/>
    </row>
    <row r="37" customFormat="false" ht="15" hidden="false" customHeight="false" outlineLevel="0" collapsed="false">
      <c r="B37" s="9" t="n">
        <v>33</v>
      </c>
      <c r="C37" s="9" t="s">
        <v>193</v>
      </c>
      <c r="D37" s="9" t="s">
        <v>157</v>
      </c>
      <c r="E37" s="9" t="s">
        <v>42</v>
      </c>
      <c r="F37" s="14" t="n">
        <v>140</v>
      </c>
      <c r="G37" s="14" t="n">
        <v>14</v>
      </c>
      <c r="H37" s="14" t="n">
        <v>364</v>
      </c>
      <c r="I37" s="14" t="n">
        <v>2</v>
      </c>
      <c r="J37" s="17"/>
      <c r="K37" s="16"/>
      <c r="L37" s="17"/>
      <c r="M37" s="15"/>
      <c r="N37" s="11"/>
    </row>
    <row r="38" customFormat="false" ht="15" hidden="false" customHeight="false" outlineLevel="0" collapsed="false">
      <c r="B38" s="9" t="n">
        <v>34</v>
      </c>
      <c r="C38" s="9" t="s">
        <v>194</v>
      </c>
      <c r="D38" s="9" t="s">
        <v>40</v>
      </c>
      <c r="E38" s="9" t="s">
        <v>161</v>
      </c>
      <c r="F38" s="14" t="n">
        <v>520</v>
      </c>
      <c r="G38" s="14" t="n">
        <v>13</v>
      </c>
      <c r="H38" s="14" t="n">
        <v>211</v>
      </c>
      <c r="I38" s="14" t="n">
        <v>0</v>
      </c>
      <c r="J38" s="17"/>
      <c r="K38" s="16"/>
      <c r="L38" s="17"/>
      <c r="M38" s="15"/>
      <c r="N38" s="11"/>
    </row>
    <row r="39" customFormat="false" ht="15" hidden="false" customHeight="false" outlineLevel="0" collapsed="false">
      <c r="B39" s="9" t="n">
        <v>35</v>
      </c>
      <c r="C39" s="9" t="s">
        <v>195</v>
      </c>
      <c r="D39" s="9" t="s">
        <v>157</v>
      </c>
      <c r="E39" s="9" t="s">
        <v>42</v>
      </c>
      <c r="F39" s="14" t="n">
        <v>80</v>
      </c>
      <c r="G39" s="14" t="n">
        <v>5</v>
      </c>
      <c r="H39" s="14" t="n">
        <v>103</v>
      </c>
      <c r="I39" s="14" t="n">
        <v>1</v>
      </c>
      <c r="J39" s="17"/>
      <c r="K39" s="16"/>
      <c r="L39" s="17"/>
      <c r="M39" s="15"/>
      <c r="N39" s="11"/>
    </row>
    <row r="40" customFormat="false" ht="15" hidden="false" customHeight="false" outlineLevel="0" collapsed="false">
      <c r="B40" s="9" t="n">
        <v>36</v>
      </c>
      <c r="C40" s="9" t="s">
        <v>196</v>
      </c>
      <c r="D40" s="9" t="s">
        <v>158</v>
      </c>
      <c r="E40" s="9" t="s">
        <v>42</v>
      </c>
      <c r="F40" s="14" t="n">
        <v>150</v>
      </c>
      <c r="G40" s="14" t="n">
        <v>10</v>
      </c>
      <c r="H40" s="14" t="n">
        <v>184</v>
      </c>
      <c r="I40" s="14" t="n">
        <v>1</v>
      </c>
      <c r="J40" s="17"/>
      <c r="K40" s="16"/>
      <c r="L40" s="17"/>
      <c r="M40" s="15"/>
      <c r="N40" s="11"/>
    </row>
    <row r="41" customFormat="false" ht="15" hidden="false" customHeight="false" outlineLevel="0" collapsed="false">
      <c r="B41" s="9" t="n">
        <v>37</v>
      </c>
      <c r="C41" s="9" t="s">
        <v>197</v>
      </c>
      <c r="D41" s="9" t="s">
        <v>160</v>
      </c>
      <c r="E41" s="9" t="s">
        <v>161</v>
      </c>
      <c r="F41" s="14" t="n">
        <v>300</v>
      </c>
      <c r="G41" s="14" t="n">
        <v>6</v>
      </c>
      <c r="H41" s="14" t="n">
        <v>65</v>
      </c>
      <c r="I41" s="14" t="n">
        <v>0</v>
      </c>
      <c r="J41" s="17"/>
      <c r="K41" s="16"/>
      <c r="L41" s="17"/>
      <c r="M41" s="15"/>
      <c r="N41" s="11"/>
    </row>
    <row r="42" customFormat="false" ht="15" hidden="false" customHeight="false" outlineLevel="0" collapsed="false">
      <c r="B42" s="9" t="n">
        <v>38</v>
      </c>
      <c r="C42" s="9" t="s">
        <v>70</v>
      </c>
      <c r="D42" s="9" t="s">
        <v>164</v>
      </c>
      <c r="E42" s="9" t="s">
        <v>42</v>
      </c>
      <c r="F42" s="14" t="n">
        <v>90</v>
      </c>
      <c r="G42" s="14" t="n">
        <v>8</v>
      </c>
      <c r="H42" s="14" t="n">
        <v>251</v>
      </c>
      <c r="I42" s="14" t="n">
        <v>1</v>
      </c>
      <c r="J42" s="17"/>
      <c r="K42" s="16"/>
      <c r="L42" s="17"/>
      <c r="M42" s="15"/>
      <c r="N42" s="11"/>
    </row>
    <row r="43" customFormat="false" ht="15" hidden="false" customHeight="false" outlineLevel="0" collapsed="false">
      <c r="B43" s="9" t="n">
        <v>39</v>
      </c>
      <c r="C43" s="9" t="s">
        <v>198</v>
      </c>
      <c r="D43" s="9" t="s">
        <v>160</v>
      </c>
      <c r="E43" s="9" t="s">
        <v>161</v>
      </c>
      <c r="F43" s="14" t="n">
        <v>60</v>
      </c>
      <c r="G43" s="14" t="n">
        <v>3</v>
      </c>
      <c r="H43" s="14" t="n">
        <v>22</v>
      </c>
      <c r="I43" s="14" t="n">
        <v>0</v>
      </c>
      <c r="J43" s="17"/>
      <c r="K43" s="16"/>
      <c r="L43" s="17"/>
      <c r="M43" s="15"/>
      <c r="N43" s="11"/>
    </row>
    <row r="44" customFormat="false" ht="15" hidden="false" customHeight="false" outlineLevel="0" collapsed="false">
      <c r="B44" s="9" t="n">
        <v>40</v>
      </c>
      <c r="C44" s="9" t="s">
        <v>199</v>
      </c>
      <c r="D44" s="9" t="s">
        <v>157</v>
      </c>
      <c r="E44" s="9" t="s">
        <v>42</v>
      </c>
      <c r="F44" s="14" t="n">
        <v>70</v>
      </c>
      <c r="G44" s="14" t="n">
        <v>5</v>
      </c>
      <c r="H44" s="14" t="n">
        <v>124</v>
      </c>
      <c r="I44" s="14" t="n">
        <v>0</v>
      </c>
      <c r="J44" s="17"/>
      <c r="K44" s="16"/>
      <c r="L44" s="17"/>
      <c r="M44" s="15"/>
      <c r="N44" s="11"/>
    </row>
    <row r="45" customFormat="false" ht="15" hidden="false" customHeight="false" outlineLevel="0" collapsed="false">
      <c r="C45" s="7" t="s">
        <v>23</v>
      </c>
      <c r="F45" s="21" t="n">
        <f aca="false">SUM(F5:F44)</f>
        <v>12405</v>
      </c>
      <c r="G45" s="21" t="n">
        <f aca="false">SUM(G5:G44)</f>
        <v>821</v>
      </c>
      <c r="H45" s="21" t="n">
        <f aca="false">SUM(H5:H44)</f>
        <v>18508</v>
      </c>
      <c r="I45" s="21" t="n">
        <f aca="false">SUM(I5:I44)</f>
        <v>68</v>
      </c>
    </row>
    <row r="46" customFormat="false" ht="15" hidden="false" customHeight="false" outlineLevel="0" collapsed="false">
      <c r="B46" s="13" t="s">
        <v>200</v>
      </c>
    </row>
    <row r="48" customFormat="false" ht="15" hidden="false" customHeight="false" outlineLevel="0" collapsed="false">
      <c r="B48" s="3" t="s">
        <v>201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customFormat="false" ht="30" hidden="false" customHeight="true" outlineLevel="0" collapsed="false">
      <c r="B49" s="6"/>
      <c r="C49" s="6" t="s">
        <v>151</v>
      </c>
      <c r="D49" s="6" t="s">
        <v>202</v>
      </c>
      <c r="E49" s="6" t="s">
        <v>145</v>
      </c>
      <c r="F49" s="6" t="s">
        <v>146</v>
      </c>
      <c r="G49" s="6" t="s">
        <v>147</v>
      </c>
      <c r="H49" s="6" t="s">
        <v>203</v>
      </c>
      <c r="I49" s="6" t="s">
        <v>95</v>
      </c>
    </row>
    <row r="50" customFormat="false" ht="15" hidden="false" customHeight="false" outlineLevel="0" collapsed="false">
      <c r="C50" s="7" t="s">
        <v>153</v>
      </c>
      <c r="D50" s="15" t="n">
        <f aca="false">COUNTIF($N$5:$N$44,C50)</f>
        <v>1</v>
      </c>
      <c r="E50" s="15" t="n">
        <f aca="false">SUMIFS($G$5:$G$44,$N$5:$N$44,C50)</f>
        <v>159</v>
      </c>
      <c r="F50" s="15" t="n">
        <f aca="false">SUMIFS($H$5:$H$44,$N$5:$N$44,C50)</f>
        <v>4492</v>
      </c>
      <c r="G50" s="15" t="n">
        <f aca="false">SUMIFS($I$5:$I$44,$N$5:$N$44,C50)</f>
        <v>17</v>
      </c>
      <c r="H50" s="17" t="n">
        <f aca="false">F50/$H$45</f>
        <v>0.242705856926734</v>
      </c>
      <c r="I50" s="15" t="n">
        <f aca="false">IFERROR(F50/G50,"–")</f>
        <v>264.235294117647</v>
      </c>
    </row>
    <row r="51" customFormat="false" ht="15" hidden="false" customHeight="false" outlineLevel="0" collapsed="false">
      <c r="C51" s="7" t="s">
        <v>204</v>
      </c>
      <c r="D51" s="15"/>
      <c r="E51" s="15"/>
      <c r="F51" s="15"/>
      <c r="G51" s="15"/>
      <c r="H51" s="17"/>
      <c r="I51" s="15"/>
    </row>
    <row r="52" customFormat="false" ht="15" hidden="false" customHeight="false" outlineLevel="0" collapsed="false">
      <c r="C52" s="7" t="s">
        <v>205</v>
      </c>
      <c r="D52" s="15"/>
      <c r="E52" s="15"/>
      <c r="F52" s="15"/>
      <c r="G52" s="15"/>
      <c r="H52" s="17"/>
      <c r="I52" s="15"/>
    </row>
    <row r="54" customFormat="false" ht="15" hidden="false" customHeight="false" outlineLevel="0" collapsed="false">
      <c r="B54" s="3" t="s">
        <v>80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customFormat="false" ht="31.5" hidden="false" customHeight="true" outlineLevel="0" collapsed="false">
      <c r="B55" s="8" t="s">
        <v>206</v>
      </c>
      <c r="C55" s="8"/>
      <c r="D55" s="8"/>
      <c r="E55" s="8"/>
      <c r="F55" s="8"/>
      <c r="G55" s="8"/>
      <c r="H55" s="8"/>
      <c r="I55" s="8"/>
      <c r="J55" s="22"/>
      <c r="K55" s="22"/>
      <c r="L55" s="22"/>
      <c r="M55" s="22"/>
    </row>
    <row r="56" customFormat="false" ht="31.5" hidden="false" customHeight="true" outlineLevel="0" collapsed="false">
      <c r="B56" s="8" t="s">
        <v>207</v>
      </c>
      <c r="C56" s="8"/>
      <c r="D56" s="8"/>
      <c r="E56" s="8"/>
      <c r="F56" s="8"/>
      <c r="G56" s="8"/>
      <c r="H56" s="8"/>
      <c r="I56" s="8"/>
      <c r="J56" s="15"/>
      <c r="K56" s="15"/>
      <c r="L56" s="15"/>
      <c r="M56" s="15"/>
    </row>
    <row r="57" customFormat="false" ht="31.5" hidden="false" customHeight="true" outlineLevel="0" collapsed="false">
      <c r="B57" s="8" t="s">
        <v>208</v>
      </c>
      <c r="C57" s="8"/>
      <c r="D57" s="8"/>
      <c r="E57" s="8"/>
      <c r="F57" s="8"/>
      <c r="G57" s="8"/>
      <c r="H57" s="8"/>
      <c r="I57" s="8"/>
      <c r="J57" s="15"/>
      <c r="K57" s="15"/>
      <c r="L57" s="15"/>
      <c r="M57" s="15"/>
    </row>
    <row r="58" customFormat="false" ht="31.5" hidden="false" customHeight="true" outlineLevel="0" collapsed="false">
      <c r="B58" s="8" t="s">
        <v>209</v>
      </c>
      <c r="C58" s="8"/>
      <c r="D58" s="8"/>
      <c r="E58" s="8"/>
      <c r="F58" s="8"/>
      <c r="G58" s="8"/>
      <c r="H58" s="8"/>
      <c r="I58" s="8"/>
      <c r="J58" s="15"/>
      <c r="K58" s="15"/>
      <c r="L58" s="15"/>
      <c r="M58" s="15"/>
    </row>
    <row r="59" customFormat="false" ht="31.5" hidden="false" customHeight="true" outlineLevel="0" collapsed="false">
      <c r="B59" s="8" t="s">
        <v>210</v>
      </c>
      <c r="C59" s="8"/>
      <c r="D59" s="8"/>
      <c r="E59" s="8"/>
      <c r="F59" s="8"/>
      <c r="G59" s="8"/>
      <c r="H59" s="8"/>
      <c r="I59" s="8"/>
      <c r="J59" s="15"/>
      <c r="K59" s="15"/>
      <c r="L59" s="15"/>
      <c r="M59" s="15"/>
    </row>
    <row r="60" customFormat="false" ht="75" hidden="false" customHeight="true" outlineLevel="0" collapsed="false">
      <c r="B60" s="8" t="s">
        <v>211</v>
      </c>
      <c r="C60" s="8"/>
      <c r="D60" s="8"/>
      <c r="E60" s="8"/>
      <c r="F60" s="8"/>
      <c r="G60" s="8"/>
      <c r="H60" s="8"/>
      <c r="I60" s="8"/>
      <c r="J60" s="18"/>
      <c r="K60" s="18"/>
      <c r="L60" s="18"/>
      <c r="M60" s="18"/>
    </row>
  </sheetData>
  <mergeCells count="12">
    <mergeCell ref="B55:I55"/>
    <mergeCell ref="J55:M55"/>
    <mergeCell ref="B56:I56"/>
    <mergeCell ref="J56:M56"/>
    <mergeCell ref="B57:I57"/>
    <mergeCell ref="J57:M57"/>
    <mergeCell ref="B58:I58"/>
    <mergeCell ref="J58:M58"/>
    <mergeCell ref="B59:I59"/>
    <mergeCell ref="J59:M59"/>
    <mergeCell ref="B60:I60"/>
    <mergeCell ref="J60:M60"/>
  </mergeCells>
  <dataValidations count="1">
    <dataValidation allowBlank="true" errorStyle="stop" operator="between" showDropDown="false" showErrorMessage="false" showInputMessage="false" sqref="N5:N44" type="list">
      <formula1>"Add as keyword,Add as negative,Keep monitoring"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2026-10-10T18:55:25Z</dcterms:created>
  <dc:creator>openpyxl</dc:creator>
  <dc:description/>
  <dc:language>en-US</dc:language>
  <cp:lastModifiedBy/>
  <dcterms:modified xsi:type="dcterms:W3CDTF">2026-10-10T18:55:25Z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