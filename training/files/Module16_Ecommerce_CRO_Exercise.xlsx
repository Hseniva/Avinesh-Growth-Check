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Funnel" sheetId="2" state="visible" r:id="rId4"/>
    <sheet name="2_Unit_Economics" sheetId="3" state="visible" r:id="rId5"/>
    <sheet name="3_AB_Tests" sheetId="4" state="visible" r:id="rId6"/>
    <sheet name="4_ICE" sheetId="5" state="visible" r:id="rId7"/>
    <sheet name="5_PDP_Audi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<sst xmlns="http://schemas.openxmlformats.org/spreadsheetml/2006/main" count="225" uniqueCount="204">
  <si>
    <t xml:space="preserve">Week 16 Excel exercise: E-Commerce &amp; Conversion (CRO)</t>
  </si>
  <si>
    <t xml:space="preserve">Lakaz Zepis, online shop for Mauritian spices, teas and gift boxes in Curepipe (fictional data, September 2026). Digital Marketing &amp; AI, Oreegami Mauritius</t>
  </si>
  <si>
    <t xml:space="preserve">How to complete it</t>
  </si>
  <si>
    <t xml:space="preserve">1. Work through the 5 tabs in order. Each tab starts with a short brief. Section numbers refer to the Week 16 guide.</t>
  </si>
  <si>
    <t xml:space="preserve">2. Type your answers in the YELLOW cells only. Do not change the data cells.</t>
  </si>
  <si>
    <t xml:space="preserve">3. Use Excel formulas wherever you calculate something (e.g. =E6/E5). Your trainer checks the formulas, not just the numbers.</t>
  </si>
  <si>
    <t xml:space="preserve">4. In each calculation table the first row is done for you as a worked example. Copy the formulas down.</t>
  </si>
  <si>
    <t xml:space="preserve">5. Formulas you will need: SUM, SUMIF, COUNTIF, AVERAGEIF, INDEX/MATCH, MAX, MIN, IF, ABS, SQRT, NORMSDIST, RANK, ROUNDUP.</t>
  </si>
  <si>
    <t xml:space="preserve">6. Prices on the shop include VAT (15%). Unit economics are calculated without VAT: price excl. VAT = price incl. VAT ÷ 1.15.</t>
  </si>
  <si>
    <t xml:space="preserve">7. Save the file as Week16_YourName.xlsx and upload it on the platform. You will receive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</si>
  <si>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</si>
  <si>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</si>
  <si>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</si>
  <si>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</si>
  <si>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1_Funnel</t>
  </si>
  <si>
    <t xml:space="preserve">E-commerce funnel by device from GA4: step rates, overall conversion, drop-off and lost revenue (Sections 6 and 18)</t>
  </si>
  <si>
    <t xml:space="preserve">2_Unit_Economics</t>
  </si>
  <si>
    <t xml:space="preserve">Product margins, contribution per order, break-even ROAS, CAC, LTV and the free-delivery threshold decision (Sections 5 and 11)</t>
  </si>
  <si>
    <t xml:space="preserve">3_AB_Tests</t>
  </si>
  <si>
    <t xml:space="preserve">A/B test results: conversion rates, uplift, z-score, p-value, decision, sample size and duration (Sections 23–24)</t>
  </si>
  <si>
    <t xml:space="preserve">4_ICE</t>
  </si>
  <si>
    <t xml:space="preserve">Prioritise 10 test ideas with ICE scores and write the top hypothesis (Sections 20–21)</t>
  </si>
  <si>
    <t xml:space="preserve">5_PDP_Audit</t>
  </si>
  <si>
    <t xml:space="preserve">Score three product pages with the 20-point audit and plan the fixes (Sections 8 and 29)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</si>
  <si>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</si>
  <si>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</si>
  <si>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</si>
  <si>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</si>
  <si>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Tab 1: E-commerce funnel by device, September 2026</t>
  </si>
  <si>
    <t xml:space="preserve">GA4 funnel exploration, open funnel, users per step. Tablet is included in the totals only. Average order value (AOV) in F13.</t>
  </si>
  <si>
    <t xml:space="preserve">Step</t>
  </si>
  <si>
    <t xml:space="preserve">GA4 event</t>
  </si>
  <si>
    <t xml:space="preserve">Mobile users</t>
  </si>
  <si>
    <t xml:space="preserve">Desktop users</t>
  </si>
  <si>
    <t xml:space="preserve">Tablet users</t>
  </si>
  <si>
    <t xml:space="preserve">Total users</t>
  </si>
  <si>
    <t xml:space="preserve">Mobile: step rate (vs previous step)</t>
  </si>
  <si>
    <t xml:space="preserve">Desktop: step rate</t>
  </si>
  <si>
    <t xml:space="preserve">Gap mobile − desktop (pts)</t>
  </si>
  <si>
    <t xml:space="preserve">Mobile: users lost at this step</t>
  </si>
  <si>
    <t xml:space="preserve">1</t>
  </si>
  <si>
    <t xml:space="preserve">session_start</t>
  </si>
  <si>
    <t xml:space="preserve">–</t>
  </si>
  <si>
    <t xml:space="preserve">2</t>
  </si>
  <si>
    <t xml:space="preserve">view_item</t>
  </si>
  <si>
    <t xml:space="preserve">3</t>
  </si>
  <si>
    <t xml:space="preserve">add_to_cart</t>
  </si>
  <si>
    <t xml:space="preserve">4</t>
  </si>
  <si>
    <t xml:space="preserve">begin_checkout</t>
  </si>
  <si>
    <t xml:space="preserve">5</t>
  </si>
  <si>
    <t xml:space="preserve">add_payment_info</t>
  </si>
  <si>
    <t xml:space="preserve">6</t>
  </si>
  <si>
    <t xml:space="preserve">purchase</t>
  </si>
  <si>
    <t xml:space="preserve">G5 (Total users) and row 6 (H–K for view_item) are done for you. Copy column G down to row 10 and H–K down to row 10 (purchase).</t>
  </si>
  <si>
    <t xml:space="preserve">Average order value, VAT included (Rs)</t>
  </si>
  <si>
    <t xml:space="preserve">Questions (Sections 6 and 18)</t>
  </si>
  <si>
    <t xml:space="preserve">Q1. Overall conversion rate of the shop, all devices (total purchase ÷ total session_start)</t>
  </si>
  <si>
    <t xml:space="preserve">Q2. Mobile overall conversion rate (mobile purchase ÷ mobile session_start)</t>
  </si>
  <si>
    <t xml:space="preserve">Q3. Desktop overall conversion rate</t>
  </si>
  <si>
    <t xml:space="preserve">Q4. Mobile step with the biggest gap to desktop (most negative gap): return the event name (INDEX/MATCH)</t>
  </si>
  <si>
    <t xml:space="preserve">Q5. Extra mobile purchases per month if mobile begin_checkout → add_payment_info reached the desktop rate, later mobile rate unchanged: begin_checkout users × (desktop rate − mobile rate) × mobile purchase step rate</t>
  </si>
  <si>
    <t xml:space="preserve">Q6. Lost revenue per month from Q5 (Rs): extra purchases × AOV</t>
  </si>
  <si>
    <t xml:space="preserve">Q7. In 2–3 sentences: what could explain the mobile drop at the step in Q4, how would you investigate it (two tools), and which test would you run?</t>
  </si>
  <si>
    <t xml:space="preserve">Tab 2: Unit economics and the free-delivery threshold</t>
  </si>
  <si>
    <t xml:space="preserve">Part A: product margins (September 2026). Part B: profit per order, ROAS, CAC and LTV. Part C: should Lakaz Zepis offer free delivery over Rs 1,500?</t>
  </si>
  <si>
    <t xml:space="preserve">Part A: product margins</t>
  </si>
  <si>
    <t xml:space="preserve">Product</t>
  </si>
  <si>
    <t xml:space="preserve">Price incl. VAT (Rs)</t>
  </si>
  <si>
    <t xml:space="preserve">Unit cost excl. VAT (Rs)</t>
  </si>
  <si>
    <t xml:space="preserve">Units sold</t>
  </si>
  <si>
    <t xml:space="preserve">Price excl. VAT (Rs)</t>
  </si>
  <si>
    <t xml:space="preserve">Margin per unit (Rs)</t>
  </si>
  <si>
    <t xml:space="preserve">Gross margin %</t>
  </si>
  <si>
    <t xml:space="preserve">Revenue excl. VAT (Rs)</t>
  </si>
  <si>
    <t xml:space="preserve">Gross profit (Rs)</t>
  </si>
  <si>
    <t xml:space="preserve">Coffret Épices Créoles (6)</t>
  </si>
  <si>
    <t xml:space="preserve">Coffret Prestige (12)</t>
  </si>
  <si>
    <t xml:space="preserve">Thé Vanille 100 g</t>
  </si>
  <si>
    <t xml:space="preserve">Piment Fort 250 ml</t>
  </si>
  <si>
    <t xml:space="preserve">Achards Mangue 350 g</t>
  </si>
  <si>
    <t xml:space="preserve">Weighted GM %:</t>
  </si>
  <si>
    <t xml:space="preserve">Row 6 is done for you. Copy F–J down. Weighted gross margin = total gross profit ÷ total revenue (not the average of the %).</t>
  </si>
  <si>
    <t xml:space="preserve">Q1. Product with the highest gross margin %</t>
  </si>
  <si>
    <t xml:space="preserve">Q2. Product that brings the most gross profit in rupees</t>
  </si>
  <si>
    <t xml:space="preserve">Part B: profit per order (all values excl. VAT unless stated)</t>
  </si>
  <si>
    <t xml:space="preserve">Orders in September</t>
  </si>
  <si>
    <t xml:space="preserve">Delivery fee charged to the customer per order (Rs)</t>
  </si>
  <si>
    <t xml:space="preserve">Delivery cost paid by the shop to the courier per order (Rs)</t>
  </si>
  <si>
    <t xml:space="preserve">Payment gateway fee (% of product value)</t>
  </si>
  <si>
    <t xml:space="preserve">Packaging per order (Rs)</t>
  </si>
  <si>
    <t xml:space="preserve">Ad spend in September (Rs)</t>
  </si>
  <si>
    <t xml:space="preserve">New customers in September</t>
  </si>
  <si>
    <t xml:space="preserve">Average orders per customer over 12 months</t>
  </si>
  <si>
    <t xml:space="preserve">Q3. AOV excl. VAT (Rs): total revenue excl. VAT (Part A) ÷ orders</t>
  </si>
  <si>
    <t xml:space="preserve">Q4. Contribution per order (Rs) = AOV × weighted gross margin + delivery fee charged − delivery cost − payment fee (AOV × %) − packaging</t>
  </si>
  <si>
    <t xml:space="preserve">Q5. Break-even ROAS = AOV excl. VAT ÷ contribution per order</t>
  </si>
  <si>
    <t xml:space="preserve">Q6. CAC (Rs) = ad spend ÷ new customers</t>
  </si>
  <si>
    <t xml:space="preserve">Q7. LTV in contribution (Rs) = contribution per order × orders per customer</t>
  </si>
  <si>
    <t xml:space="preserve">Q8. LTV ÷ CAC ratio (target 3 or more)</t>
  </si>
  <si>
    <t xml:space="preserve">Part C: free delivery over Rs 1,500 (incl. VAT)? Scenario from a similar shop’s test</t>
  </si>
  <si>
    <t xml:space="preserve">Share of orders that would qualify for free delivery</t>
  </si>
  <si>
    <t xml:space="preserve">Expected increase in AOV</t>
  </si>
  <si>
    <t xml:space="preserve">Expected increase in number of orders (better conversion)</t>
  </si>
  <si>
    <t xml:space="preserve">Scenario</t>
  </si>
  <si>
    <t xml:space="preserve">Orders</t>
  </si>
  <si>
    <t xml:space="preserve">AOV excl. VAT (Rs)</t>
  </si>
  <si>
    <t xml:space="preserve">Delivery fee collected per order (Rs)</t>
  </si>
  <si>
    <t xml:space="preserve">Contribution per order (Rs)</t>
  </si>
  <si>
    <t xml:space="preserve">Total contribution (Rs)</t>
  </si>
  <si>
    <t xml:space="preserve">Today (fee on every order)</t>
  </si>
  <si>
    <t xml:space="preserve">Free delivery over Rs 1,500</t>
  </si>
  <si>
    <t xml:space="preserve">The "Today" row is done for you; it uses your Q3 and weighted GM % answers, so it fills in once Parts A and B are done. In the new scenario only customers who do NOT qualify still pay the delivery fee.</t>
  </si>
  <si>
    <t xml:space="preserve">Q9. Change in total monthly contribution (Rs): free delivery − today</t>
  </si>
  <si>
    <t xml:space="preserve">Q10. Decision: IF the change is positive return "Launch free delivery", otherwise "Keep the fee"</t>
  </si>
  <si>
    <t xml:space="preserve">Q11. In 2–3 sentences: is the free-delivery offer worth testing, what happens if neither orders nor AOV increase, and how would you test it (Section 22)?</t>
  </si>
  <si>
    <t xml:space="preserve">Tab 3: A/B test results, September–October 2026</t>
  </si>
  <si>
    <t xml:space="preserve">Each test split visitors 50/50 between A (control) and B (variant). Conversion = the primary metric of each test. Significant if |z| ≥ 1.96 (95%, two-sided).</t>
  </si>
  <si>
    <t xml:space="preserve">Test</t>
  </si>
  <si>
    <t xml:space="preserve">Primary metric</t>
  </si>
  <si>
    <t xml:space="preserve">Visitors A</t>
  </si>
  <si>
    <t xml:space="preserve">Conversions A</t>
  </si>
  <si>
    <t xml:space="preserve">Visitors B</t>
  </si>
  <si>
    <t xml:space="preserve">Conversions B</t>
  </si>
  <si>
    <t xml:space="preserve">Rate A</t>
  </si>
  <si>
    <t xml:space="preserve">Rate B</t>
  </si>
  <si>
    <t xml:space="preserve">Relative uplift</t>
  </si>
  <si>
    <t xml:space="preserve">Pooled rate</t>
  </si>
  <si>
    <t xml:space="preserve">Standard error</t>
  </si>
  <si>
    <t xml:space="preserve">z-score</t>
  </si>
  <si>
    <t xml:space="preserve">p-value</t>
  </si>
  <si>
    <t xml:space="preserve">Significant? (Yes/No)</t>
  </si>
  <si>
    <t xml:space="preserve">Share of visitors in B</t>
  </si>
  <si>
    <t xml:space="preserve">T1 Free delivery Rs 1,500</t>
  </si>
  <si>
    <t xml:space="preserve">Purchase</t>
  </si>
  <si>
    <t xml:space="preserve">T2 Mobile product page layout</t>
  </si>
  <si>
    <t xml:space="preserve">Add to cart</t>
  </si>
  <si>
    <t xml:space="preserve">T3 One-page mobile checkout</t>
  </si>
  <si>
    <t xml:space="preserve">Checkout completed</t>
  </si>
  <si>
    <t xml:space="preserve">T4 Homepage slider</t>
  </si>
  <si>
    <t xml:space="preserve">Row 5 (T1) is done for you. Copy H–P down. Formulas: Section 23 of the guide (z = (rate B − rate A) ÷ SE).</t>
  </si>
  <si>
    <t xml:space="preserve">Questions</t>
  </si>
  <si>
    <t xml:space="preserve">Q1. Which test has the highest z-score? (INDEX/MATCH)</t>
  </si>
  <si>
    <t xml:space="preserve">Q2. How many tests are significant? (COUNTIF)</t>
  </si>
  <si>
    <t xml:space="preserve">Q3. Sample size per version to detect a change from 1.4% to 1.8% purchase rate: 16 × p × (1 − p) ÷ d², with p = 1.4% and d = 0.4 points</t>
  </si>
  <si>
    <t xml:space="preserve">Q4. With 320 test visitors a day (both versions together), how many days does Q3 need? (2 versions × Q3 ÷ 320)</t>
  </si>
  <si>
    <t xml:space="preserve">Q5. Round Q4 up to whole weeks (ROUNDUP of days ÷ 7)</t>
  </si>
  <si>
    <t xml:space="preserve">Q6. T1 shows +27% more purchases but is not significant. In 2–3 sentences, what would you decide and why? Use the p-value, the sample size and Tab 2 Part C.</t>
  </si>
  <si>
    <t xml:space="preserve">Q7. T4 (homepage slider): what is the result and what do you do?</t>
  </si>
  <si>
    <t xml:space="preserve">Tab 4: Prioritise test ideas with ICE</t>
  </si>
  <si>
    <t xml:space="preserve">Scores agreed by the team (1–10). ICE = average of Impact, Confidence and Ease. Rank 1 = test first.</t>
  </si>
  <si>
    <t xml:space="preserve">#</t>
  </si>
  <si>
    <t xml:space="preserve">Idea</t>
  </si>
  <si>
    <t xml:space="preserve">Area</t>
  </si>
  <si>
    <t xml:space="preserve">Impact</t>
  </si>
  <si>
    <t xml:space="preserve">Confidence</t>
  </si>
  <si>
    <t xml:space="preserve">Ease</t>
  </si>
  <si>
    <t xml:space="preserve">ICE score</t>
  </si>
  <si>
    <t xml:space="preserve">Rank</t>
  </si>
  <si>
    <t xml:space="preserve">Delivery fee and free-delivery line under the price</t>
  </si>
  <si>
    <t xml:space="preserve">Product page</t>
  </si>
  <si>
    <t xml:space="preserve">Guest checkout by default</t>
  </si>
  <si>
    <t xml:space="preserve">Checkout</t>
  </si>
  <si>
    <t xml:space="preserve">Show Juice first at checkout</t>
  </si>
  <si>
    <t xml:space="preserve">Sticky add-to-cart bar on mobile</t>
  </si>
  <si>
    <t xml:space="preserve">One-page mobile checkout</t>
  </si>
  <si>
    <t xml:space="preserve">"Complete the gift" cross-sell in the cart</t>
  </si>
  <si>
    <t xml:space="preserve">Cart</t>
  </si>
  <si>
    <t xml:space="preserve">New homepage slider</t>
  </si>
  <si>
    <t xml:space="preserve">Navigation</t>
  </si>
  <si>
    <t xml:space="preserve">Search with French/English synonyms</t>
  </si>
  <si>
    <t xml:space="preserve">Abandoned cart WhatsApp flow</t>
  </si>
  <si>
    <t xml:space="preserve">Retention</t>
  </si>
  <si>
    <t xml:space="preserve">Customer photo reviews on product pages</t>
  </si>
  <si>
    <t xml:space="preserve">Row 5 is done for you. Copy H–I down.</t>
  </si>
  <si>
    <t xml:space="preserve">Average ICE by area (AVERAGEIF)</t>
  </si>
  <si>
    <t xml:space="preserve">Number of ideas</t>
  </si>
  <si>
    <t xml:space="preserve">Average ICE</t>
  </si>
  <si>
    <t xml:space="preserve">Q1. Which idea should be tested or implemented first? (highest ICE)</t>
  </si>
  <si>
    <t xml:space="preserve">Q2. How many ideas have an ICE score of 7 or more?</t>
  </si>
  <si>
    <t xml:space="preserve">Q3. Which area has the highest average ICE?</t>
  </si>
  <si>
    <t xml:space="preserve">Q4. Write a full hypothesis for the idea in Q1 (because… we believe… for… will cause… measured by…, plus a guardrail). Then say whether you would A/B test it or just fix it, and why.</t>
  </si>
  <si>
    <t xml:space="preserve">Tab 5: Product page audit (mobile), 20-point scorecard</t>
  </si>
  <si>
    <t xml:space="preserve">Each criterion scored 0 (missing), 1 (partly) or 2 (good). Three Lakaz Zepis pages scored by the team. Column G: score a product page of your own shop or a local shop.</t>
  </si>
  <si>
    <t xml:space="preserve">Criterion</t>
  </si>
  <si>
    <t xml:space="preserve">Coffret Épices Créoles</t>
  </si>
  <si>
    <t xml:space="preserve">Your page (0–2)</t>
  </si>
  <si>
    <t xml:space="preserve">Total for the 3 Lakaz Zepis pages</t>
  </si>
  <si>
    <t xml:space="preserve">Clear title with type, variant and size</t>
  </si>
  <si>
    <t xml:space="preserve">5+ quality photos, zoom, in-use and scale; video if useful</t>
  </si>
  <si>
    <t xml:space="preserve">Price in Rs with VAT, visible without scrolling</t>
  </si>
  <si>
    <t xml:space="preserve">Delivery fee, threshold and timing near the price</t>
  </si>
  <si>
    <t xml:space="preserve">Add-to-cart button visible, high contrast, sticky on mobile</t>
  </si>
  <si>
    <t xml:space="preserve">Reviews and rating with number of reviews</t>
  </si>
  <si>
    <t xml:space="preserve">Benefits and full details (ingredients, size, specs)</t>
  </si>
  <si>
    <t xml:space="preserve">Payment logos and returns summary near the button</t>
  </si>
  <si>
    <t xml:space="preserve">WhatsApp or chat help, contact details</t>
  </si>
  <si>
    <t xml:space="preserve">Loads fast on mobile data (LCP 2.5 s or less)</t>
  </si>
  <si>
    <t xml:space="preserve">Total score (out of 20)</t>
  </si>
  <si>
    <t xml:space="preserve">Grade: IF total ≥ 16 "Good", ≥ 11 "Needs work", else "Poor"</t>
  </si>
  <si>
    <t xml:space="preserve">Column H row 5, the Coffret total and grade are done for you. Copy the rest. Score your own page in column G.</t>
  </si>
  <si>
    <t xml:space="preserve">Q1. Which criterion is the weakest across the three pages? (lowest total in column H, INDEX/MATCH)</t>
  </si>
  <si>
    <t xml:space="preserve">Q2. How many criteria scored 0 across the three pages? (COUNTIF on D:F)</t>
  </si>
  <si>
    <t xml:space="preserve">Q3. Which page has the lowest total score?</t>
  </si>
  <si>
    <t xml:space="preserve">Q4. List the three fixes you would make first on the lowest-scoring page, and for each say "just fix" or "test" (Section 17).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</si>
</sst>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\+0.0;\-0.0;0.0"/>
    <numFmt numFmtId="168" formatCode="0.00%"/>
    <numFmt numFmtId="169" formatCode="#,##0.0"/>
    <numFmt numFmtId="170" formatCode="#,##0.00"/>
    <numFmt numFmtId="171" formatCode="0.0"/>
    <numFmt numFmtId="172" formatCode="0.00"/>
    <numFmt numFmtId="173" formatCode="0%"/>
    <numFmt numFmtId="174" formatCode="\+#,##0;\-#,##0"/>
    <numFmt numFmtId="175" formatCode="\+0.0%;\-0.0%;0.0%"/>
    <numFmt numFmtId="176" formatCode="0.0000"/>
    <numFmt numFmtId="177" formatCode="0.000"/>
    <numFmt numFmtId="17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90"/>
    <col collapsed="false" customWidth="true" hidden="false" outlineLevel="0" max="4" min="4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5" t="s">
        <v>6</v>
      </c>
    </row>
    <row r="9" customFormat="false" ht="15" hidden="false" customHeight="false" outlineLevel="0" collapsed="false">
      <c r="B9" s="5" t="s">
        <v>7</v>
      </c>
    </row>
    <row r="10" customFormat="false" ht="15" hidden="false" customHeight="false" outlineLevel="0" collapsed="false">
      <c r="B10" s="5" t="s">
        <v>8</v>
      </c>
    </row>
    <row r="11" customFormat="false" ht="15" hidden="false" customHeight="false" outlineLevel="0" collapsed="false">
      <c r="B11" s="5" t="s">
        <v>9</v>
      </c>
    </row>
    <row r="13" customFormat="false" ht="15" hidden="false" customHeight="false" outlineLevel="0" collapsed="false">
      <c r="B13" s="3" t="s">
        <v>10</v>
      </c>
      <c r="C13" s="4"/>
      <c r="D13" s="4"/>
      <c r="E13" s="4"/>
    </row>
    <row r="14" customFormat="false" ht="15" hidden="false" customHeight="false" outlineLevel="0" collapsed="false">
      <c r="B14" s="6" t="s">
        <v>11</v>
      </c>
      <c r="C14" s="6" t="s">
        <v>12</v>
      </c>
      <c r="D14" s="6" t="s">
        <v>13</v>
      </c>
    </row>
    <row r="15" customFormat="false" ht="30" hidden="false" customHeight="true" outlineLevel="0" collapsed="false">
      <c r="B15" s="7" t="s">
        <v>14</v>
      </c>
      <c r="C15" s="8" t="s">
        <v>15</v>
      </c>
      <c r="D15" s="9" t="n">
        <v>5</v>
      </c>
    </row>
    <row r="16" customFormat="false" ht="30" hidden="false" customHeight="true" outlineLevel="0" collapsed="false">
      <c r="B16" s="7" t="s">
        <v>16</v>
      </c>
      <c r="C16" s="8" t="s">
        <v>17</v>
      </c>
      <c r="D16" s="9" t="n">
        <v>5</v>
      </c>
    </row>
    <row r="17" customFormat="false" ht="30" hidden="false" customHeight="true" outlineLevel="0" collapsed="false">
      <c r="B17" s="7" t="s">
        <v>18</v>
      </c>
      <c r="C17" s="8" t="s">
        <v>19</v>
      </c>
      <c r="D17" s="9" t="n">
        <v>4</v>
      </c>
    </row>
    <row r="18" customFormat="false" ht="30" hidden="false" customHeight="true" outlineLevel="0" collapsed="false">
      <c r="B18" s="7" t="s">
        <v>20</v>
      </c>
      <c r="C18" s="8" t="s">
        <v>21</v>
      </c>
      <c r="D18" s="9" t="n">
        <v>3</v>
      </c>
    </row>
    <row r="19" customFormat="false" ht="30" hidden="false" customHeight="true" outlineLevel="0" collapsed="false">
      <c r="B19" s="7" t="s">
        <v>22</v>
      </c>
      <c r="C19" s="8" t="s">
        <v>23</v>
      </c>
      <c r="D19" s="9" t="n">
        <v>3</v>
      </c>
    </row>
    <row r="20" customFormat="false" ht="15" hidden="false" customHeight="false" outlineLevel="0" collapsed="false">
      <c r="B20" s="7" t="s">
        <v>24</v>
      </c>
      <c r="D20" s="7" t="n">
        <f aca="false">SUM(D15:D19)</f>
        <v>20</v>
      </c>
    </row>
    <row r="22" customFormat="false" ht="15" hidden="false" customHeight="false" outlineLevel="0" collapsed="false">
      <c r="B22" s="10" t="s">
        <v>25</v>
      </c>
      <c r="C22" s="11" t="s">
        <v>26</v>
      </c>
      <c r="D22" s="1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7" min="4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5"/>
  </cols>
  <sheetData>
    <row r="1" customFormat="false" ht="17.3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57.75" hidden="false" customHeight="true" outlineLevel="0" collapsed="false"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</row>
    <row r="5" customFormat="false" ht="15" hidden="false" customHeight="false" outlineLevel="0" collapsed="false">
      <c r="B5" s="7" t="s">
        <v>40</v>
      </c>
      <c r="C5" s="9" t="s">
        <v>41</v>
      </c>
      <c r="D5" s="13" t="n">
        <v>6500</v>
      </c>
      <c r="E5" s="13" t="n">
        <v>2300</v>
      </c>
      <c r="F5" s="13" t="n">
        <v>200</v>
      </c>
      <c r="G5" s="14" t="n">
        <f aca="false">SUM(D5:F5)</f>
        <v>9000</v>
      </c>
      <c r="H5" s="9" t="s">
        <v>42</v>
      </c>
      <c r="I5" s="9" t="s">
        <v>42</v>
      </c>
      <c r="J5" s="9" t="s">
        <v>42</v>
      </c>
      <c r="K5" s="9" t="s">
        <v>42</v>
      </c>
    </row>
    <row r="6" customFormat="false" ht="15" hidden="false" customHeight="false" outlineLevel="0" collapsed="false">
      <c r="B6" s="7" t="s">
        <v>43</v>
      </c>
      <c r="C6" s="9" t="s">
        <v>44</v>
      </c>
      <c r="D6" s="13" t="n">
        <v>3380</v>
      </c>
      <c r="E6" s="13" t="n">
        <v>1380</v>
      </c>
      <c r="F6" s="13" t="n">
        <v>104</v>
      </c>
      <c r="G6" s="14"/>
      <c r="H6" s="15" t="n">
        <f aca="false">D6/D5</f>
        <v>0.52</v>
      </c>
      <c r="I6" s="15" t="n">
        <f aca="false">E6/E5</f>
        <v>0.6</v>
      </c>
      <c r="J6" s="16" t="n">
        <f aca="false">(H6-I6)*100</f>
        <v>-8</v>
      </c>
      <c r="K6" s="14" t="n">
        <f aca="false">D5-D6</f>
        <v>3120</v>
      </c>
    </row>
    <row r="7" customFormat="false" ht="15" hidden="false" customHeight="false" outlineLevel="0" collapsed="false">
      <c r="B7" s="7" t="s">
        <v>45</v>
      </c>
      <c r="C7" s="9" t="s">
        <v>46</v>
      </c>
      <c r="D7" s="13" t="n">
        <v>403</v>
      </c>
      <c r="E7" s="13" t="n">
        <v>230</v>
      </c>
      <c r="F7" s="13" t="n">
        <v>12</v>
      </c>
      <c r="G7" s="14"/>
      <c r="H7" s="15"/>
      <c r="I7" s="15"/>
      <c r="J7" s="16"/>
      <c r="K7" s="14"/>
    </row>
    <row r="8" customFormat="false" ht="15" hidden="false" customHeight="false" outlineLevel="0" collapsed="false">
      <c r="B8" s="7" t="s">
        <v>47</v>
      </c>
      <c r="C8" s="9" t="s">
        <v>48</v>
      </c>
      <c r="D8" s="13" t="n">
        <v>250</v>
      </c>
      <c r="E8" s="13" t="n">
        <v>160</v>
      </c>
      <c r="F8" s="13" t="n">
        <v>8</v>
      </c>
      <c r="G8" s="14"/>
      <c r="H8" s="15"/>
      <c r="I8" s="15"/>
      <c r="J8" s="16"/>
      <c r="K8" s="14"/>
    </row>
    <row r="9" customFormat="false" ht="15" hidden="false" customHeight="false" outlineLevel="0" collapsed="false">
      <c r="B9" s="7" t="s">
        <v>49</v>
      </c>
      <c r="C9" s="9" t="s">
        <v>50</v>
      </c>
      <c r="D9" s="13" t="n">
        <v>150</v>
      </c>
      <c r="E9" s="13" t="n">
        <v>128</v>
      </c>
      <c r="F9" s="13" t="n">
        <v>6</v>
      </c>
      <c r="G9" s="14"/>
      <c r="H9" s="15"/>
      <c r="I9" s="15"/>
      <c r="J9" s="16"/>
      <c r="K9" s="14"/>
    </row>
    <row r="10" customFormat="false" ht="15" hidden="false" customHeight="false" outlineLevel="0" collapsed="false">
      <c r="B10" s="7" t="s">
        <v>51</v>
      </c>
      <c r="C10" s="9" t="s">
        <v>52</v>
      </c>
      <c r="D10" s="13" t="n">
        <v>66</v>
      </c>
      <c r="E10" s="13" t="n">
        <v>62</v>
      </c>
      <c r="F10" s="13" t="n">
        <v>3</v>
      </c>
      <c r="G10" s="14"/>
      <c r="H10" s="15"/>
      <c r="I10" s="15"/>
      <c r="J10" s="16"/>
      <c r="K10" s="14"/>
    </row>
    <row r="11" customFormat="false" ht="15" hidden="false" customHeight="false" outlineLevel="0" collapsed="false">
      <c r="B11" s="17" t="s">
        <v>53</v>
      </c>
    </row>
    <row r="13" customFormat="false" ht="15" hidden="false" customHeight="false" outlineLevel="0" collapsed="false">
      <c r="B13" s="7" t="s">
        <v>54</v>
      </c>
      <c r="C13" s="7"/>
      <c r="D13" s="7"/>
      <c r="E13" s="7"/>
      <c r="F13" s="13" t="n">
        <v>1500</v>
      </c>
    </row>
    <row r="15" customFormat="false" ht="15" hidden="false" customHeight="false" outlineLevel="0" collapsed="false">
      <c r="B15" s="3" t="s">
        <v>55</v>
      </c>
      <c r="C15" s="4"/>
      <c r="D15" s="4"/>
      <c r="E15" s="4"/>
      <c r="F15" s="4"/>
      <c r="G15" s="4"/>
      <c r="H15" s="4"/>
      <c r="I15" s="4"/>
      <c r="J15" s="4"/>
      <c r="K15" s="4"/>
    </row>
    <row r="16" customFormat="false" ht="30" hidden="false" customHeight="true" outlineLevel="0" collapsed="false">
      <c r="B16" s="8" t="s">
        <v>56</v>
      </c>
      <c r="C16" s="8"/>
      <c r="D16" s="8"/>
      <c r="E16" s="8"/>
      <c r="F16" s="8"/>
      <c r="G16" s="8"/>
      <c r="H16" s="18"/>
      <c r="I16" s="18"/>
    </row>
    <row r="17" customFormat="false" ht="30" hidden="false" customHeight="true" outlineLevel="0" collapsed="false">
      <c r="B17" s="8" t="s">
        <v>57</v>
      </c>
      <c r="C17" s="8"/>
      <c r="D17" s="8"/>
      <c r="E17" s="8"/>
      <c r="F17" s="8"/>
      <c r="G17" s="8"/>
      <c r="H17" s="18"/>
      <c r="I17" s="18"/>
    </row>
    <row r="18" customFormat="false" ht="30" hidden="false" customHeight="true" outlineLevel="0" collapsed="false">
      <c r="B18" s="8" t="s">
        <v>58</v>
      </c>
      <c r="C18" s="8"/>
      <c r="D18" s="8"/>
      <c r="E18" s="8"/>
      <c r="F18" s="8"/>
      <c r="G18" s="8"/>
      <c r="H18" s="18"/>
      <c r="I18" s="18"/>
    </row>
    <row r="19" customFormat="false" ht="31.5" hidden="false" customHeight="true" outlineLevel="0" collapsed="false">
      <c r="B19" s="8" t="s">
        <v>59</v>
      </c>
      <c r="C19" s="8"/>
      <c r="D19" s="8"/>
      <c r="E19" s="8"/>
      <c r="F19" s="8"/>
      <c r="G19" s="8"/>
      <c r="H19" s="11"/>
      <c r="I19" s="11"/>
    </row>
    <row r="20" customFormat="false" ht="45" hidden="false" customHeight="true" outlineLevel="0" collapsed="false">
      <c r="B20" s="8" t="s">
        <v>60</v>
      </c>
      <c r="C20" s="8"/>
      <c r="D20" s="8"/>
      <c r="E20" s="8"/>
      <c r="F20" s="8"/>
      <c r="G20" s="8"/>
      <c r="H20" s="19"/>
      <c r="I20" s="19"/>
    </row>
    <row r="21" customFormat="false" ht="30" hidden="false" customHeight="true" outlineLevel="0" collapsed="false">
      <c r="B21" s="8" t="s">
        <v>61</v>
      </c>
      <c r="C21" s="8"/>
      <c r="D21" s="8"/>
      <c r="E21" s="8"/>
      <c r="F21" s="8"/>
      <c r="G21" s="8"/>
      <c r="H21" s="14"/>
      <c r="I21" s="14"/>
    </row>
    <row r="22" customFormat="false" ht="109.5" hidden="false" customHeight="true" outlineLevel="0" collapsed="false">
      <c r="B22" s="8" t="s">
        <v>62</v>
      </c>
      <c r="C22" s="8"/>
      <c r="D22" s="8"/>
      <c r="E22" s="8"/>
      <c r="F22" s="8"/>
      <c r="G22" s="8"/>
      <c r="H22" s="20"/>
      <c r="I22" s="20"/>
      <c r="J22" s="20"/>
      <c r="K22" s="20"/>
      <c r="L22" s="20"/>
      <c r="M22" s="20"/>
    </row>
  </sheetData>
  <mergeCells count="15">
    <mergeCell ref="B13:E13"/>
    <mergeCell ref="B16:G16"/>
    <mergeCell ref="H16:I16"/>
    <mergeCell ref="B17:G17"/>
    <mergeCell ref="H17:I17"/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H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8" min="3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4"/>
  </cols>
  <sheetData>
    <row r="1" customFormat="false" ht="17.35" hidden="false" customHeight="false" outlineLevel="0" collapsed="false">
      <c r="B1" s="1" t="s">
        <v>63</v>
      </c>
    </row>
    <row r="2" customFormat="false" ht="15" hidden="false" customHeight="false" outlineLevel="0" collapsed="false">
      <c r="B2" s="2" t="s">
        <v>64</v>
      </c>
    </row>
    <row r="4" customFormat="false" ht="15" hidden="false" customHeight="false" outlineLevel="0" collapsed="false">
      <c r="B4" s="3" t="s">
        <v>65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45" hidden="false" customHeight="true" outlineLevel="0" collapsed="false"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71</v>
      </c>
      <c r="H5" s="6" t="s">
        <v>72</v>
      </c>
      <c r="I5" s="6" t="s">
        <v>73</v>
      </c>
      <c r="J5" s="6" t="s">
        <v>74</v>
      </c>
    </row>
    <row r="6" customFormat="false" ht="15" hidden="false" customHeight="false" outlineLevel="0" collapsed="false">
      <c r="B6" s="7" t="s">
        <v>75</v>
      </c>
      <c r="C6" s="13" t="n">
        <v>1250</v>
      </c>
      <c r="D6" s="13" t="n">
        <v>430</v>
      </c>
      <c r="E6" s="13" t="n">
        <v>58</v>
      </c>
      <c r="F6" s="21" t="n">
        <f aca="false">C6/1.15</f>
        <v>1086.95652173913</v>
      </c>
      <c r="G6" s="21" t="n">
        <f aca="false">F6-D6</f>
        <v>656.956521739131</v>
      </c>
      <c r="H6" s="15" t="n">
        <f aca="false">G6/F6</f>
        <v>0.6044</v>
      </c>
      <c r="I6" s="14" t="n">
        <f aca="false">F6*E6</f>
        <v>63043.4782608696</v>
      </c>
      <c r="J6" s="14" t="n">
        <f aca="false">G6*E6</f>
        <v>38103.4782608696</v>
      </c>
    </row>
    <row r="7" customFormat="false" ht="15" hidden="false" customHeight="false" outlineLevel="0" collapsed="false">
      <c r="B7" s="7" t="s">
        <v>76</v>
      </c>
      <c r="C7" s="13" t="n">
        <v>2400</v>
      </c>
      <c r="D7" s="13" t="n">
        <v>980</v>
      </c>
      <c r="E7" s="13" t="n">
        <v>21</v>
      </c>
      <c r="F7" s="21"/>
      <c r="G7" s="21"/>
      <c r="H7" s="15"/>
      <c r="I7" s="14"/>
      <c r="J7" s="14"/>
    </row>
    <row r="8" customFormat="false" ht="15" hidden="false" customHeight="false" outlineLevel="0" collapsed="false">
      <c r="B8" s="7" t="s">
        <v>77</v>
      </c>
      <c r="C8" s="13" t="n">
        <v>345</v>
      </c>
      <c r="D8" s="13" t="n">
        <v>95</v>
      </c>
      <c r="E8" s="13" t="n">
        <v>96</v>
      </c>
      <c r="F8" s="21"/>
      <c r="G8" s="21"/>
      <c r="H8" s="15"/>
      <c r="I8" s="14"/>
      <c r="J8" s="14"/>
    </row>
    <row r="9" customFormat="false" ht="15" hidden="false" customHeight="false" outlineLevel="0" collapsed="false">
      <c r="B9" s="7" t="s">
        <v>78</v>
      </c>
      <c r="C9" s="13" t="n">
        <v>290</v>
      </c>
      <c r="D9" s="13" t="n">
        <v>70</v>
      </c>
      <c r="E9" s="13" t="n">
        <v>84</v>
      </c>
      <c r="F9" s="21"/>
      <c r="G9" s="21"/>
      <c r="H9" s="15"/>
      <c r="I9" s="14"/>
      <c r="J9" s="14"/>
    </row>
    <row r="10" customFormat="false" ht="15" hidden="false" customHeight="false" outlineLevel="0" collapsed="false">
      <c r="B10" s="7" t="s">
        <v>79</v>
      </c>
      <c r="C10" s="13" t="n">
        <v>320</v>
      </c>
      <c r="D10" s="13" t="n">
        <v>120</v>
      </c>
      <c r="E10" s="13" t="n">
        <v>52</v>
      </c>
      <c r="F10" s="21"/>
      <c r="G10" s="21"/>
      <c r="H10" s="15"/>
      <c r="I10" s="14"/>
      <c r="J10" s="14"/>
    </row>
    <row r="11" customFormat="false" ht="15" hidden="false" customHeight="false" outlineLevel="0" collapsed="false">
      <c r="B11" s="7" t="s">
        <v>24</v>
      </c>
      <c r="E11" s="22" t="n">
        <f aca="false">SUM(E6:E10)</f>
        <v>311</v>
      </c>
      <c r="G11" s="7" t="s">
        <v>80</v>
      </c>
      <c r="H11" s="15"/>
      <c r="I11" s="14"/>
      <c r="J11" s="14"/>
    </row>
    <row r="12" customFormat="false" ht="15" hidden="false" customHeight="false" outlineLevel="0" collapsed="false">
      <c r="B12" s="17" t="s">
        <v>81</v>
      </c>
    </row>
    <row r="13" customFormat="false" ht="30" hidden="false" customHeight="true" outlineLevel="0" collapsed="false">
      <c r="B13" s="8" t="s">
        <v>82</v>
      </c>
      <c r="C13" s="8"/>
      <c r="D13" s="8"/>
      <c r="E13" s="8"/>
      <c r="F13" s="8"/>
      <c r="G13" s="8"/>
      <c r="H13" s="11"/>
      <c r="I13" s="11"/>
      <c r="J13" s="11"/>
    </row>
    <row r="14" customFormat="false" ht="30" hidden="false" customHeight="true" outlineLevel="0" collapsed="false">
      <c r="B14" s="8" t="s">
        <v>83</v>
      </c>
      <c r="C14" s="8"/>
      <c r="D14" s="8"/>
      <c r="E14" s="8"/>
      <c r="F14" s="8"/>
      <c r="G14" s="8"/>
      <c r="H14" s="11"/>
      <c r="I14" s="11"/>
      <c r="J14" s="11"/>
    </row>
    <row r="16" customFormat="false" ht="15" hidden="false" customHeight="false" outlineLevel="0" collapsed="false">
      <c r="B16" s="3" t="s">
        <v>84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true" outlineLevel="0" collapsed="false">
      <c r="B17" s="8" t="s">
        <v>85</v>
      </c>
      <c r="C17" s="8"/>
      <c r="D17" s="8"/>
      <c r="E17" s="8"/>
      <c r="F17" s="22" t="n">
        <v>131</v>
      </c>
    </row>
    <row r="18" customFormat="false" ht="15" hidden="false" customHeight="true" outlineLevel="0" collapsed="false">
      <c r="B18" s="8" t="s">
        <v>86</v>
      </c>
      <c r="C18" s="8"/>
      <c r="D18" s="8"/>
      <c r="E18" s="8"/>
      <c r="F18" s="22" t="n">
        <v>150</v>
      </c>
    </row>
    <row r="19" customFormat="false" ht="15" hidden="false" customHeight="true" outlineLevel="0" collapsed="false">
      <c r="B19" s="8" t="s">
        <v>87</v>
      </c>
      <c r="C19" s="8"/>
      <c r="D19" s="8"/>
      <c r="E19" s="8"/>
      <c r="F19" s="22" t="n">
        <v>180</v>
      </c>
    </row>
    <row r="20" customFormat="false" ht="15" hidden="false" customHeight="true" outlineLevel="0" collapsed="false">
      <c r="B20" s="8" t="s">
        <v>88</v>
      </c>
      <c r="C20" s="8"/>
      <c r="D20" s="8"/>
      <c r="E20" s="8"/>
      <c r="F20" s="23" t="n">
        <v>0.025</v>
      </c>
    </row>
    <row r="21" customFormat="false" ht="15" hidden="false" customHeight="true" outlineLevel="0" collapsed="false">
      <c r="B21" s="8" t="s">
        <v>89</v>
      </c>
      <c r="C21" s="8"/>
      <c r="D21" s="8"/>
      <c r="E21" s="8"/>
      <c r="F21" s="22" t="n">
        <v>60</v>
      </c>
    </row>
    <row r="22" customFormat="false" ht="15" hidden="false" customHeight="true" outlineLevel="0" collapsed="false">
      <c r="B22" s="8" t="s">
        <v>90</v>
      </c>
      <c r="C22" s="8"/>
      <c r="D22" s="8"/>
      <c r="E22" s="8"/>
      <c r="F22" s="22" t="n">
        <v>32000</v>
      </c>
    </row>
    <row r="23" customFormat="false" ht="15" hidden="false" customHeight="true" outlineLevel="0" collapsed="false">
      <c r="B23" s="8" t="s">
        <v>91</v>
      </c>
      <c r="C23" s="8"/>
      <c r="D23" s="8"/>
      <c r="E23" s="8"/>
      <c r="F23" s="22" t="n">
        <v>80</v>
      </c>
    </row>
    <row r="24" customFormat="false" ht="15" hidden="false" customHeight="true" outlineLevel="0" collapsed="false">
      <c r="B24" s="8" t="s">
        <v>92</v>
      </c>
      <c r="C24" s="8"/>
      <c r="D24" s="8"/>
      <c r="E24" s="8"/>
      <c r="F24" s="24" t="n">
        <v>2.1</v>
      </c>
    </row>
    <row r="26" customFormat="false" ht="30" hidden="false" customHeight="true" outlineLevel="0" collapsed="false">
      <c r="B26" s="8" t="s">
        <v>93</v>
      </c>
      <c r="C26" s="8"/>
      <c r="D26" s="8"/>
      <c r="E26" s="8"/>
      <c r="F26" s="8"/>
      <c r="G26" s="8"/>
      <c r="H26" s="14"/>
      <c r="I26" s="14"/>
    </row>
    <row r="27" customFormat="false" ht="45" hidden="false" customHeight="true" outlineLevel="0" collapsed="false">
      <c r="B27" s="8" t="s">
        <v>94</v>
      </c>
      <c r="C27" s="8"/>
      <c r="D27" s="8"/>
      <c r="E27" s="8"/>
      <c r="F27" s="8"/>
      <c r="G27" s="8"/>
      <c r="H27" s="14"/>
      <c r="I27" s="14"/>
    </row>
    <row r="28" customFormat="false" ht="30" hidden="false" customHeight="true" outlineLevel="0" collapsed="false">
      <c r="B28" s="8" t="s">
        <v>95</v>
      </c>
      <c r="C28" s="8"/>
      <c r="D28" s="8"/>
      <c r="E28" s="8"/>
      <c r="F28" s="8"/>
      <c r="G28" s="8"/>
      <c r="H28" s="25"/>
      <c r="I28" s="25"/>
    </row>
    <row r="29" customFormat="false" ht="30" hidden="false" customHeight="true" outlineLevel="0" collapsed="false">
      <c r="B29" s="8" t="s">
        <v>96</v>
      </c>
      <c r="C29" s="8"/>
      <c r="D29" s="8"/>
      <c r="E29" s="8"/>
      <c r="F29" s="8"/>
      <c r="G29" s="8"/>
      <c r="H29" s="14"/>
      <c r="I29" s="14"/>
    </row>
    <row r="30" customFormat="false" ht="30" hidden="false" customHeight="true" outlineLevel="0" collapsed="false">
      <c r="B30" s="8" t="s">
        <v>97</v>
      </c>
      <c r="C30" s="8"/>
      <c r="D30" s="8"/>
      <c r="E30" s="8"/>
      <c r="F30" s="8"/>
      <c r="G30" s="8"/>
      <c r="H30" s="14"/>
      <c r="I30" s="14"/>
    </row>
    <row r="31" customFormat="false" ht="30" hidden="false" customHeight="true" outlineLevel="0" collapsed="false">
      <c r="B31" s="8" t="s">
        <v>98</v>
      </c>
      <c r="C31" s="8"/>
      <c r="D31" s="8"/>
      <c r="E31" s="8"/>
      <c r="F31" s="8"/>
      <c r="G31" s="8"/>
      <c r="H31" s="26"/>
      <c r="I31" s="26"/>
    </row>
    <row r="33" customFormat="false" ht="15" hidden="false" customHeight="false" outlineLevel="0" collapsed="false">
      <c r="B33" s="3" t="s">
        <v>99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true" outlineLevel="0" collapsed="false">
      <c r="B34" s="8" t="s">
        <v>100</v>
      </c>
      <c r="C34" s="8"/>
      <c r="D34" s="8"/>
      <c r="E34" s="8"/>
      <c r="F34" s="27" t="n">
        <v>0.45</v>
      </c>
    </row>
    <row r="35" customFormat="false" ht="15" hidden="false" customHeight="true" outlineLevel="0" collapsed="false">
      <c r="B35" s="8" t="s">
        <v>101</v>
      </c>
      <c r="C35" s="8"/>
      <c r="D35" s="8"/>
      <c r="E35" s="8"/>
      <c r="F35" s="27" t="n">
        <v>0.12</v>
      </c>
    </row>
    <row r="36" customFormat="false" ht="15" hidden="false" customHeight="true" outlineLevel="0" collapsed="false">
      <c r="B36" s="8" t="s">
        <v>102</v>
      </c>
      <c r="C36" s="8"/>
      <c r="D36" s="8"/>
      <c r="E36" s="8"/>
      <c r="F36" s="27" t="n">
        <v>0.1</v>
      </c>
    </row>
    <row r="38" customFormat="false" ht="45" hidden="false" customHeight="true" outlineLevel="0" collapsed="false">
      <c r="B38" s="6" t="s">
        <v>103</v>
      </c>
      <c r="C38" s="6" t="s">
        <v>104</v>
      </c>
      <c r="D38" s="6" t="s">
        <v>105</v>
      </c>
      <c r="E38" s="6" t="s">
        <v>106</v>
      </c>
      <c r="F38" s="6" t="s">
        <v>107</v>
      </c>
      <c r="G38" s="6" t="s">
        <v>108</v>
      </c>
    </row>
    <row r="39" customFormat="false" ht="15" hidden="false" customHeight="false" outlineLevel="0" collapsed="false">
      <c r="B39" s="7" t="s">
        <v>109</v>
      </c>
      <c r="C39" s="14" t="n">
        <f aca="false">$F$17</f>
        <v>131</v>
      </c>
      <c r="D39" s="14" t="n">
        <f aca="false">H26</f>
        <v>0</v>
      </c>
      <c r="E39" s="14" t="n">
        <f aca="false">$F$18</f>
        <v>150</v>
      </c>
      <c r="F39" s="14" t="n">
        <f aca="false">D39*$H$11+E39-$F$19-D39*$F$20-$F$21</f>
        <v>-90</v>
      </c>
      <c r="G39" s="14" t="n">
        <f aca="false">C39*F39</f>
        <v>-11790</v>
      </c>
    </row>
    <row r="40" customFormat="false" ht="15" hidden="false" customHeight="false" outlineLevel="0" collapsed="false">
      <c r="B40" s="7" t="s">
        <v>110</v>
      </c>
      <c r="C40" s="14"/>
      <c r="D40" s="14"/>
      <c r="E40" s="14"/>
      <c r="F40" s="14"/>
      <c r="G40" s="14"/>
    </row>
    <row r="41" customFormat="false" ht="15" hidden="false" customHeight="false" outlineLevel="0" collapsed="false">
      <c r="B41" s="17" t="s">
        <v>111</v>
      </c>
    </row>
    <row r="43" customFormat="false" ht="30" hidden="false" customHeight="true" outlineLevel="0" collapsed="false">
      <c r="B43" s="8" t="s">
        <v>112</v>
      </c>
      <c r="C43" s="8"/>
      <c r="D43" s="8"/>
      <c r="E43" s="8"/>
      <c r="F43" s="8"/>
      <c r="G43" s="8"/>
      <c r="H43" s="28"/>
      <c r="I43" s="28"/>
    </row>
    <row r="44" customFormat="false" ht="30" hidden="false" customHeight="true" outlineLevel="0" collapsed="false">
      <c r="B44" s="8" t="s">
        <v>113</v>
      </c>
      <c r="C44" s="8"/>
      <c r="D44" s="8"/>
      <c r="E44" s="8"/>
      <c r="F44" s="8"/>
      <c r="G44" s="8"/>
      <c r="H44" s="11"/>
      <c r="I44" s="11"/>
      <c r="J44" s="11"/>
    </row>
    <row r="45" customFormat="false" ht="120" hidden="false" customHeight="true" outlineLevel="0" collapsed="false">
      <c r="B45" s="8" t="s">
        <v>114</v>
      </c>
      <c r="C45" s="8"/>
      <c r="D45" s="8"/>
      <c r="E45" s="8"/>
      <c r="F45" s="8"/>
      <c r="G45" s="8"/>
      <c r="H45" s="20"/>
      <c r="I45" s="20"/>
      <c r="J45" s="20"/>
      <c r="K45" s="20"/>
      <c r="L45" s="20"/>
      <c r="M45" s="20"/>
    </row>
  </sheetData>
  <mergeCells count="33">
    <mergeCell ref="B13:G13"/>
    <mergeCell ref="H13:J13"/>
    <mergeCell ref="B14:G14"/>
    <mergeCell ref="H14:J14"/>
    <mergeCell ref="B17:E17"/>
    <mergeCell ref="B18:E18"/>
    <mergeCell ref="B19:E19"/>
    <mergeCell ref="B20:E20"/>
    <mergeCell ref="B21:E21"/>
    <mergeCell ref="B22:E22"/>
    <mergeCell ref="B23:E23"/>
    <mergeCell ref="B24:E24"/>
    <mergeCell ref="B26:G26"/>
    <mergeCell ref="H26:I26"/>
    <mergeCell ref="B27:G27"/>
    <mergeCell ref="H27:I27"/>
    <mergeCell ref="B28:G28"/>
    <mergeCell ref="H28:I28"/>
    <mergeCell ref="B29:G29"/>
    <mergeCell ref="H29:I29"/>
    <mergeCell ref="B30:G30"/>
    <mergeCell ref="H30:I30"/>
    <mergeCell ref="B31:G31"/>
    <mergeCell ref="H31:I31"/>
    <mergeCell ref="B34:E34"/>
    <mergeCell ref="B35:E35"/>
    <mergeCell ref="B36:E36"/>
    <mergeCell ref="B43:G43"/>
    <mergeCell ref="H43:I43"/>
    <mergeCell ref="B44:G44"/>
    <mergeCell ref="H44:J44"/>
    <mergeCell ref="B45:G45"/>
    <mergeCell ref="H45:M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15" min="4" style="0" width="11"/>
    <col collapsed="false" customWidth="true" hidden="false" outlineLevel="0" max="16" min="16" style="0" width="12"/>
  </cols>
  <sheetData>
    <row r="1" customFormat="false" ht="17.35" hidden="false" customHeight="false" outlineLevel="0" collapsed="false">
      <c r="B1" s="1" t="s">
        <v>115</v>
      </c>
    </row>
    <row r="2" customFormat="false" ht="15" hidden="false" customHeight="false" outlineLevel="0" collapsed="false">
      <c r="B2" s="2" t="s">
        <v>116</v>
      </c>
    </row>
    <row r="4" customFormat="false" ht="45" hidden="false" customHeight="true" outlineLevel="0" collapsed="false">
      <c r="B4" s="6" t="s">
        <v>117</v>
      </c>
      <c r="C4" s="6" t="s">
        <v>118</v>
      </c>
      <c r="D4" s="6" t="s">
        <v>119</v>
      </c>
      <c r="E4" s="6" t="s">
        <v>120</v>
      </c>
      <c r="F4" s="6" t="s">
        <v>121</v>
      </c>
      <c r="G4" s="6" t="s">
        <v>122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127</v>
      </c>
      <c r="M4" s="6" t="s">
        <v>128</v>
      </c>
      <c r="N4" s="6" t="s">
        <v>129</v>
      </c>
      <c r="O4" s="6" t="s">
        <v>130</v>
      </c>
      <c r="P4" s="6" t="s">
        <v>131</v>
      </c>
    </row>
    <row r="5" customFormat="false" ht="15" hidden="false" customHeight="false" outlineLevel="0" collapsed="false">
      <c r="B5" s="7" t="s">
        <v>132</v>
      </c>
      <c r="C5" s="9" t="s">
        <v>133</v>
      </c>
      <c r="D5" s="13" t="n">
        <v>5200</v>
      </c>
      <c r="E5" s="13" t="n">
        <v>73</v>
      </c>
      <c r="F5" s="13" t="n">
        <v>5150</v>
      </c>
      <c r="G5" s="13" t="n">
        <v>92</v>
      </c>
      <c r="H5" s="18" t="n">
        <f aca="false">E5/D5</f>
        <v>0.0140384615384615</v>
      </c>
      <c r="I5" s="18" t="n">
        <f aca="false">G5/F5</f>
        <v>0.0178640776699029</v>
      </c>
      <c r="J5" s="29" t="n">
        <f aca="false">(I5-H5)/H5</f>
        <v>0.27250964223966</v>
      </c>
      <c r="K5" s="18" t="n">
        <f aca="false">(E5+G5)/(D5+F5)</f>
        <v>0.0159420289855072</v>
      </c>
      <c r="L5" s="30" t="n">
        <f aca="false">SQRT(K5*(1-K5)*(1/D5+1/F5))</f>
        <v>0.00246233437225104</v>
      </c>
      <c r="M5" s="25" t="n">
        <f aca="false">(I5-H5)/L5</f>
        <v>1.55365419682788</v>
      </c>
      <c r="N5" s="31" t="n">
        <f aca="false">2*(1-NORMSDIST(ABS(M5)))</f>
        <v>0.120266924118557</v>
      </c>
      <c r="O5" s="11" t="str">
        <f aca="false">IF(ABS(M5)&gt;=1.96,"Yes","No")</f>
        <v>No</v>
      </c>
      <c r="P5" s="15" t="n">
        <f aca="false">F5/(D5+F5)</f>
        <v>0.497584541062802</v>
      </c>
    </row>
    <row r="6" customFormat="false" ht="15" hidden="false" customHeight="false" outlineLevel="0" collapsed="false">
      <c r="B6" s="7" t="s">
        <v>134</v>
      </c>
      <c r="C6" s="9" t="s">
        <v>135</v>
      </c>
      <c r="D6" s="13" t="n">
        <v>4100</v>
      </c>
      <c r="E6" s="13" t="n">
        <v>250</v>
      </c>
      <c r="F6" s="13" t="n">
        <v>4080</v>
      </c>
      <c r="G6" s="13" t="n">
        <v>310</v>
      </c>
      <c r="H6" s="18"/>
      <c r="I6" s="18"/>
      <c r="J6" s="29"/>
      <c r="K6" s="18"/>
      <c r="L6" s="30"/>
      <c r="M6" s="25"/>
      <c r="N6" s="31"/>
      <c r="O6" s="11"/>
      <c r="P6" s="15"/>
    </row>
    <row r="7" customFormat="false" ht="15" hidden="false" customHeight="false" outlineLevel="0" collapsed="false">
      <c r="B7" s="7" t="s">
        <v>136</v>
      </c>
      <c r="C7" s="9" t="s">
        <v>137</v>
      </c>
      <c r="D7" s="13" t="n">
        <v>1180</v>
      </c>
      <c r="E7" s="13" t="n">
        <v>520</v>
      </c>
      <c r="F7" s="13" t="n">
        <v>1170</v>
      </c>
      <c r="G7" s="13" t="n">
        <v>585</v>
      </c>
      <c r="H7" s="18"/>
      <c r="I7" s="18"/>
      <c r="J7" s="29"/>
      <c r="K7" s="18"/>
      <c r="L7" s="30"/>
      <c r="M7" s="25"/>
      <c r="N7" s="31"/>
      <c r="O7" s="11"/>
      <c r="P7" s="15"/>
    </row>
    <row r="8" customFormat="false" ht="15" hidden="false" customHeight="false" outlineLevel="0" collapsed="false">
      <c r="B8" s="7" t="s">
        <v>138</v>
      </c>
      <c r="C8" s="9" t="s">
        <v>133</v>
      </c>
      <c r="D8" s="13" t="n">
        <v>3000</v>
      </c>
      <c r="E8" s="13" t="n">
        <v>45</v>
      </c>
      <c r="F8" s="13" t="n">
        <v>3020</v>
      </c>
      <c r="G8" s="13" t="n">
        <v>38</v>
      </c>
      <c r="H8" s="18"/>
      <c r="I8" s="18"/>
      <c r="J8" s="29"/>
      <c r="K8" s="18"/>
      <c r="L8" s="30"/>
      <c r="M8" s="25"/>
      <c r="N8" s="31"/>
      <c r="O8" s="11"/>
      <c r="P8" s="15"/>
    </row>
    <row r="9" customFormat="false" ht="15" hidden="false" customHeight="false" outlineLevel="0" collapsed="false">
      <c r="B9" s="17" t="s">
        <v>139</v>
      </c>
    </row>
    <row r="11" customFormat="false" ht="15" hidden="false" customHeight="false" outlineLevel="0" collapsed="false">
      <c r="B11" s="3" t="s">
        <v>140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30" hidden="false" customHeight="true" outlineLevel="0" collapsed="false">
      <c r="B12" s="8" t="s">
        <v>141</v>
      </c>
      <c r="C12" s="8"/>
      <c r="D12" s="8"/>
      <c r="E12" s="8"/>
      <c r="F12" s="8"/>
      <c r="G12" s="8"/>
      <c r="H12" s="11"/>
      <c r="I12" s="11"/>
      <c r="J12" s="11"/>
    </row>
    <row r="13" customFormat="false" ht="30" hidden="false" customHeight="true" outlineLevel="0" collapsed="false">
      <c r="B13" s="8" t="s">
        <v>142</v>
      </c>
      <c r="C13" s="8"/>
      <c r="D13" s="8"/>
      <c r="E13" s="8"/>
      <c r="F13" s="8"/>
      <c r="G13" s="8"/>
      <c r="H13" s="32"/>
      <c r="I13" s="32"/>
    </row>
    <row r="14" customFormat="false" ht="45" hidden="false" customHeight="true" outlineLevel="0" collapsed="false">
      <c r="B14" s="8" t="s">
        <v>143</v>
      </c>
      <c r="C14" s="8"/>
      <c r="D14" s="8"/>
      <c r="E14" s="8"/>
      <c r="F14" s="8"/>
      <c r="G14" s="8"/>
      <c r="H14" s="14"/>
      <c r="I14" s="14"/>
    </row>
    <row r="15" customFormat="false" ht="31.5" hidden="false" customHeight="true" outlineLevel="0" collapsed="false">
      <c r="B15" s="8" t="s">
        <v>144</v>
      </c>
      <c r="C15" s="8"/>
      <c r="D15" s="8"/>
      <c r="E15" s="8"/>
      <c r="F15" s="8"/>
      <c r="G15" s="8"/>
      <c r="H15" s="26"/>
      <c r="I15" s="26"/>
    </row>
    <row r="16" customFormat="false" ht="30" hidden="false" customHeight="true" outlineLevel="0" collapsed="false">
      <c r="B16" s="8" t="s">
        <v>145</v>
      </c>
      <c r="C16" s="8"/>
      <c r="D16" s="8"/>
      <c r="E16" s="8"/>
      <c r="F16" s="8"/>
      <c r="G16" s="8"/>
      <c r="H16" s="32"/>
      <c r="I16" s="32"/>
    </row>
    <row r="17" customFormat="false" ht="109.5" hidden="false" customHeight="true" outlineLevel="0" collapsed="false">
      <c r="B17" s="8" t="s">
        <v>146</v>
      </c>
      <c r="C17" s="8"/>
      <c r="D17" s="8"/>
      <c r="E17" s="8"/>
      <c r="F17" s="8"/>
      <c r="G17" s="8"/>
      <c r="H17" s="20"/>
      <c r="I17" s="20"/>
      <c r="J17" s="20"/>
      <c r="K17" s="20"/>
      <c r="L17" s="20"/>
      <c r="M17" s="20"/>
    </row>
    <row r="18" customFormat="false" ht="69.75" hidden="false" customHeight="true" outlineLevel="0" collapsed="false">
      <c r="B18" s="8" t="s">
        <v>147</v>
      </c>
      <c r="C18" s="8"/>
      <c r="D18" s="8"/>
      <c r="E18" s="8"/>
      <c r="F18" s="8"/>
      <c r="G18" s="8"/>
      <c r="H18" s="20"/>
      <c r="I18" s="20"/>
      <c r="J18" s="20"/>
      <c r="K18" s="20"/>
      <c r="L18" s="20"/>
      <c r="M18" s="20"/>
    </row>
  </sheetData>
  <mergeCells count="14">
    <mergeCell ref="B12:G12"/>
    <mergeCell ref="H12:J12"/>
    <mergeCell ref="B13:G13"/>
    <mergeCell ref="H13:I13"/>
    <mergeCell ref="B14:G14"/>
    <mergeCell ref="H14:I14"/>
    <mergeCell ref="B15:G15"/>
    <mergeCell ref="H15:I15"/>
    <mergeCell ref="B16:G16"/>
    <mergeCell ref="H16:I16"/>
    <mergeCell ref="B17:G17"/>
    <mergeCell ref="H17:M17"/>
    <mergeCell ref="B18:G18"/>
    <mergeCell ref="H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7.35" hidden="false" customHeight="false" outlineLevel="0" collapsed="false">
      <c r="B1" s="1" t="s">
        <v>148</v>
      </c>
    </row>
    <row r="2" customFormat="false" ht="15" hidden="false" customHeight="false" outlineLevel="0" collapsed="false">
      <c r="B2" s="2" t="s">
        <v>149</v>
      </c>
    </row>
    <row r="4" customFormat="false" ht="30" hidden="false" customHeight="true" outlineLevel="0" collapsed="false">
      <c r="B4" s="6" t="s">
        <v>150</v>
      </c>
      <c r="C4" s="6" t="s">
        <v>151</v>
      </c>
      <c r="D4" s="6" t="s">
        <v>152</v>
      </c>
      <c r="E4" s="6" t="s">
        <v>153</v>
      </c>
      <c r="F4" s="6" t="s">
        <v>154</v>
      </c>
      <c r="G4" s="6" t="s">
        <v>155</v>
      </c>
      <c r="H4" s="6" t="s">
        <v>156</v>
      </c>
      <c r="I4" s="6" t="s">
        <v>157</v>
      </c>
    </row>
    <row r="5" customFormat="false" ht="15" hidden="false" customHeight="false" outlineLevel="0" collapsed="false">
      <c r="B5" s="9" t="n">
        <v>1</v>
      </c>
      <c r="C5" s="8" t="s">
        <v>158</v>
      </c>
      <c r="D5" s="9" t="s">
        <v>159</v>
      </c>
      <c r="E5" s="9" t="n">
        <v>8</v>
      </c>
      <c r="F5" s="9" t="n">
        <v>9</v>
      </c>
      <c r="G5" s="9" t="n">
        <v>9</v>
      </c>
      <c r="H5" s="25" t="n">
        <f aca="false">AVERAGE(E5:G5)</f>
        <v>8.66666666666667</v>
      </c>
      <c r="I5" s="32" t="n">
        <f aca="false">RANK(H5,$H$5:$H$14)</f>
        <v>1</v>
      </c>
    </row>
    <row r="6" customFormat="false" ht="15" hidden="false" customHeight="false" outlineLevel="0" collapsed="false">
      <c r="B6" s="9" t="n">
        <v>2</v>
      </c>
      <c r="C6" s="8" t="s">
        <v>160</v>
      </c>
      <c r="D6" s="9" t="s">
        <v>161</v>
      </c>
      <c r="E6" s="9" t="n">
        <v>9</v>
      </c>
      <c r="F6" s="9" t="n">
        <v>8</v>
      </c>
      <c r="G6" s="9" t="n">
        <v>6</v>
      </c>
      <c r="H6" s="25"/>
      <c r="I6" s="32"/>
    </row>
    <row r="7" customFormat="false" ht="15" hidden="false" customHeight="false" outlineLevel="0" collapsed="false">
      <c r="B7" s="9" t="n">
        <v>3</v>
      </c>
      <c r="C7" s="8" t="s">
        <v>162</v>
      </c>
      <c r="D7" s="9" t="s">
        <v>161</v>
      </c>
      <c r="E7" s="9" t="n">
        <v>7</v>
      </c>
      <c r="F7" s="9" t="n">
        <v>8</v>
      </c>
      <c r="G7" s="9" t="n">
        <v>7</v>
      </c>
      <c r="H7" s="25"/>
      <c r="I7" s="32"/>
    </row>
    <row r="8" customFormat="false" ht="15" hidden="false" customHeight="false" outlineLevel="0" collapsed="false">
      <c r="B8" s="9" t="n">
        <v>4</v>
      </c>
      <c r="C8" s="8" t="s">
        <v>163</v>
      </c>
      <c r="D8" s="9" t="s">
        <v>159</v>
      </c>
      <c r="E8" s="9" t="n">
        <v>7</v>
      </c>
      <c r="F8" s="9" t="n">
        <v>6</v>
      </c>
      <c r="G8" s="9" t="n">
        <v>8</v>
      </c>
      <c r="H8" s="25"/>
      <c r="I8" s="32"/>
    </row>
    <row r="9" customFormat="false" ht="15" hidden="false" customHeight="false" outlineLevel="0" collapsed="false">
      <c r="B9" s="9" t="n">
        <v>5</v>
      </c>
      <c r="C9" s="8" t="s">
        <v>164</v>
      </c>
      <c r="D9" s="9" t="s">
        <v>161</v>
      </c>
      <c r="E9" s="9" t="n">
        <v>8</v>
      </c>
      <c r="F9" s="9" t="n">
        <v>6</v>
      </c>
      <c r="G9" s="9" t="n">
        <v>3</v>
      </c>
      <c r="H9" s="25"/>
      <c r="I9" s="32"/>
    </row>
    <row r="10" customFormat="false" ht="15" hidden="false" customHeight="false" outlineLevel="0" collapsed="false">
      <c r="B10" s="9" t="n">
        <v>6</v>
      </c>
      <c r="C10" s="8" t="s">
        <v>165</v>
      </c>
      <c r="D10" s="9" t="s">
        <v>166</v>
      </c>
      <c r="E10" s="9" t="n">
        <v>6</v>
      </c>
      <c r="F10" s="9" t="n">
        <v>5</v>
      </c>
      <c r="G10" s="9" t="n">
        <v>7</v>
      </c>
      <c r="H10" s="25"/>
      <c r="I10" s="32"/>
    </row>
    <row r="11" customFormat="false" ht="15" hidden="false" customHeight="false" outlineLevel="0" collapsed="false">
      <c r="B11" s="9" t="n">
        <v>7</v>
      </c>
      <c r="C11" s="8" t="s">
        <v>167</v>
      </c>
      <c r="D11" s="9" t="s">
        <v>168</v>
      </c>
      <c r="E11" s="9" t="n">
        <v>3</v>
      </c>
      <c r="F11" s="9" t="n">
        <v>3</v>
      </c>
      <c r="G11" s="9" t="n">
        <v>8</v>
      </c>
      <c r="H11" s="25"/>
      <c r="I11" s="32"/>
    </row>
    <row r="12" customFormat="false" ht="15" hidden="false" customHeight="false" outlineLevel="0" collapsed="false">
      <c r="B12" s="9" t="n">
        <v>8</v>
      </c>
      <c r="C12" s="8" t="s">
        <v>169</v>
      </c>
      <c r="D12" s="9" t="s">
        <v>168</v>
      </c>
      <c r="E12" s="9" t="n">
        <v>5</v>
      </c>
      <c r="F12" s="9" t="n">
        <v>6</v>
      </c>
      <c r="G12" s="9" t="n">
        <v>5</v>
      </c>
      <c r="H12" s="25"/>
      <c r="I12" s="32"/>
    </row>
    <row r="13" customFormat="false" ht="15" hidden="false" customHeight="false" outlineLevel="0" collapsed="false">
      <c r="B13" s="9" t="n">
        <v>9</v>
      </c>
      <c r="C13" s="8" t="s">
        <v>170</v>
      </c>
      <c r="D13" s="9" t="s">
        <v>171</v>
      </c>
      <c r="E13" s="9" t="n">
        <v>7</v>
      </c>
      <c r="F13" s="9" t="n">
        <v>7</v>
      </c>
      <c r="G13" s="9" t="n">
        <v>6</v>
      </c>
      <c r="H13" s="25"/>
      <c r="I13" s="32"/>
    </row>
    <row r="14" customFormat="false" ht="15" hidden="false" customHeight="false" outlineLevel="0" collapsed="false">
      <c r="B14" s="9" t="n">
        <v>10</v>
      </c>
      <c r="C14" s="8" t="s">
        <v>172</v>
      </c>
      <c r="D14" s="9" t="s">
        <v>159</v>
      </c>
      <c r="E14" s="9" t="n">
        <v>6</v>
      </c>
      <c r="F14" s="9" t="n">
        <v>7</v>
      </c>
      <c r="G14" s="9" t="n">
        <v>6</v>
      </c>
      <c r="H14" s="25"/>
      <c r="I14" s="32"/>
    </row>
    <row r="15" customFormat="false" ht="15" hidden="false" customHeight="false" outlineLevel="0" collapsed="false">
      <c r="B15" s="17" t="s">
        <v>173</v>
      </c>
    </row>
    <row r="17" customFormat="false" ht="15" hidden="false" customHeight="false" outlineLevel="0" collapsed="false">
      <c r="B17" s="3" t="s">
        <v>174</v>
      </c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B18" s="6" t="s">
        <v>152</v>
      </c>
      <c r="C18" s="6" t="s">
        <v>175</v>
      </c>
      <c r="D18" s="6" t="s">
        <v>176</v>
      </c>
    </row>
    <row r="19" customFormat="false" ht="15" hidden="false" customHeight="false" outlineLevel="0" collapsed="false">
      <c r="B19" s="7" t="s">
        <v>159</v>
      </c>
      <c r="C19" s="32" t="n">
        <f aca="false">COUNTIF($D$5:$D$14,B19)</f>
        <v>3</v>
      </c>
      <c r="D19" s="25" t="n">
        <f aca="false">AVERAGEIF($D$5:$D$14,B19,$H$5:$H$14)</f>
        <v>8.66666666666667</v>
      </c>
    </row>
    <row r="20" customFormat="false" ht="15" hidden="false" customHeight="false" outlineLevel="0" collapsed="false">
      <c r="B20" s="7" t="s">
        <v>161</v>
      </c>
      <c r="C20" s="32"/>
      <c r="D20" s="25"/>
    </row>
    <row r="21" customFormat="false" ht="15" hidden="false" customHeight="false" outlineLevel="0" collapsed="false">
      <c r="B21" s="7" t="s">
        <v>166</v>
      </c>
      <c r="C21" s="32"/>
      <c r="D21" s="25"/>
    </row>
    <row r="22" customFormat="false" ht="15" hidden="false" customHeight="false" outlineLevel="0" collapsed="false">
      <c r="B22" s="7" t="s">
        <v>168</v>
      </c>
      <c r="C22" s="32"/>
      <c r="D22" s="25"/>
    </row>
    <row r="23" customFormat="false" ht="15" hidden="false" customHeight="false" outlineLevel="0" collapsed="false">
      <c r="B23" s="7" t="s">
        <v>171</v>
      </c>
      <c r="C23" s="32"/>
      <c r="D23" s="25"/>
    </row>
    <row r="25" customFormat="false" ht="15" hidden="false" customHeight="false" outlineLevel="0" collapsed="false">
      <c r="B25" s="3" t="s">
        <v>140</v>
      </c>
      <c r="C25" s="4"/>
      <c r="D25" s="4"/>
      <c r="E25" s="4"/>
      <c r="F25" s="4"/>
      <c r="G25" s="4"/>
      <c r="H25" s="4"/>
      <c r="I25" s="4"/>
    </row>
    <row r="26" customFormat="false" ht="30" hidden="false" customHeight="true" outlineLevel="0" collapsed="false">
      <c r="B26" s="8" t="s">
        <v>177</v>
      </c>
      <c r="C26" s="8"/>
      <c r="D26" s="8"/>
      <c r="E26" s="8"/>
      <c r="F26" s="8"/>
      <c r="G26" s="11"/>
      <c r="H26" s="11"/>
      <c r="I26" s="11"/>
    </row>
    <row r="27" customFormat="false" ht="30" hidden="false" customHeight="true" outlineLevel="0" collapsed="false">
      <c r="B27" s="8" t="s">
        <v>178</v>
      </c>
      <c r="C27" s="8"/>
      <c r="D27" s="8"/>
      <c r="E27" s="8"/>
      <c r="F27" s="8"/>
      <c r="G27" s="32"/>
      <c r="H27" s="32"/>
      <c r="I27" s="32"/>
    </row>
    <row r="28" customFormat="false" ht="30" hidden="false" customHeight="true" outlineLevel="0" collapsed="false">
      <c r="B28" s="8" t="s">
        <v>179</v>
      </c>
      <c r="C28" s="8"/>
      <c r="D28" s="8"/>
      <c r="E28" s="8"/>
      <c r="F28" s="8"/>
      <c r="G28" s="11"/>
      <c r="H28" s="11"/>
      <c r="I28" s="11"/>
    </row>
    <row r="29" customFormat="false" ht="109.5" hidden="false" customHeight="true" outlineLevel="0" collapsed="false">
      <c r="B29" s="8" t="s">
        <v>180</v>
      </c>
      <c r="C29" s="8"/>
      <c r="D29" s="8"/>
      <c r="E29" s="20"/>
      <c r="F29" s="20"/>
      <c r="G29" s="20"/>
      <c r="H29" s="20"/>
      <c r="I29" s="20"/>
    </row>
  </sheetData>
  <mergeCells count="8">
    <mergeCell ref="B26:F26"/>
    <mergeCell ref="G26:I26"/>
    <mergeCell ref="B27:F27"/>
    <mergeCell ref="G27:I27"/>
    <mergeCell ref="B28:F28"/>
    <mergeCell ref="G28:I28"/>
    <mergeCell ref="B29:D29"/>
    <mergeCell ref="E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7.35" hidden="false" customHeight="false" outlineLevel="0" collapsed="false">
      <c r="B1" s="1" t="s">
        <v>181</v>
      </c>
    </row>
    <row r="2" customFormat="false" ht="15" hidden="false" customHeight="false" outlineLevel="0" collapsed="false">
      <c r="B2" s="2" t="s">
        <v>182</v>
      </c>
    </row>
    <row r="4" customFormat="false" ht="45" hidden="false" customHeight="true" outlineLevel="0" collapsed="false">
      <c r="B4" s="6" t="s">
        <v>150</v>
      </c>
      <c r="C4" s="6" t="s">
        <v>183</v>
      </c>
      <c r="D4" s="6" t="s">
        <v>184</v>
      </c>
      <c r="E4" s="6" t="s">
        <v>77</v>
      </c>
      <c r="F4" s="6" t="s">
        <v>76</v>
      </c>
      <c r="G4" s="6" t="s">
        <v>185</v>
      </c>
      <c r="H4" s="6" t="s">
        <v>186</v>
      </c>
    </row>
    <row r="5" customFormat="false" ht="15" hidden="false" customHeight="false" outlineLevel="0" collapsed="false">
      <c r="B5" s="9" t="n">
        <v>1</v>
      </c>
      <c r="C5" s="8" t="s">
        <v>187</v>
      </c>
      <c r="D5" s="9" t="n">
        <v>2</v>
      </c>
      <c r="E5" s="9" t="n">
        <v>1</v>
      </c>
      <c r="F5" s="9" t="n">
        <v>2</v>
      </c>
      <c r="G5" s="11"/>
      <c r="H5" s="32" t="n">
        <f aca="false">SUM(D5:F5)</f>
        <v>5</v>
      </c>
    </row>
    <row r="6" customFormat="false" ht="15" hidden="false" customHeight="false" outlineLevel="0" collapsed="false">
      <c r="B6" s="9" t="n">
        <v>2</v>
      </c>
      <c r="C6" s="8" t="s">
        <v>188</v>
      </c>
      <c r="D6" s="9" t="n">
        <v>2</v>
      </c>
      <c r="E6" s="9" t="n">
        <v>1</v>
      </c>
      <c r="F6" s="9" t="n">
        <v>1</v>
      </c>
      <c r="G6" s="11"/>
      <c r="H6" s="32"/>
    </row>
    <row r="7" customFormat="false" ht="15" hidden="false" customHeight="false" outlineLevel="0" collapsed="false">
      <c r="B7" s="9" t="n">
        <v>3</v>
      </c>
      <c r="C7" s="8" t="s">
        <v>189</v>
      </c>
      <c r="D7" s="9" t="n">
        <v>2</v>
      </c>
      <c r="E7" s="9" t="n">
        <v>2</v>
      </c>
      <c r="F7" s="9" t="n">
        <v>2</v>
      </c>
      <c r="G7" s="11"/>
      <c r="H7" s="32"/>
    </row>
    <row r="8" customFormat="false" ht="15" hidden="false" customHeight="false" outlineLevel="0" collapsed="false">
      <c r="B8" s="9" t="n">
        <v>4</v>
      </c>
      <c r="C8" s="8" t="s">
        <v>190</v>
      </c>
      <c r="D8" s="9" t="n">
        <v>0</v>
      </c>
      <c r="E8" s="9" t="n">
        <v>0</v>
      </c>
      <c r="F8" s="9" t="n">
        <v>0</v>
      </c>
      <c r="G8" s="11"/>
      <c r="H8" s="32"/>
    </row>
    <row r="9" customFormat="false" ht="15" hidden="false" customHeight="false" outlineLevel="0" collapsed="false">
      <c r="B9" s="9" t="n">
        <v>5</v>
      </c>
      <c r="C9" s="8" t="s">
        <v>191</v>
      </c>
      <c r="D9" s="9" t="n">
        <v>1</v>
      </c>
      <c r="E9" s="9" t="n">
        <v>1</v>
      </c>
      <c r="F9" s="9" t="n">
        <v>1</v>
      </c>
      <c r="G9" s="11"/>
      <c r="H9" s="32"/>
    </row>
    <row r="10" customFormat="false" ht="15" hidden="false" customHeight="false" outlineLevel="0" collapsed="false">
      <c r="B10" s="9" t="n">
        <v>6</v>
      </c>
      <c r="C10" s="8" t="s">
        <v>192</v>
      </c>
      <c r="D10" s="9" t="n">
        <v>2</v>
      </c>
      <c r="E10" s="9" t="n">
        <v>1</v>
      </c>
      <c r="F10" s="9" t="n">
        <v>0</v>
      </c>
      <c r="G10" s="11"/>
      <c r="H10" s="32"/>
    </row>
    <row r="11" customFormat="false" ht="15" hidden="false" customHeight="false" outlineLevel="0" collapsed="false">
      <c r="B11" s="9" t="n">
        <v>7</v>
      </c>
      <c r="C11" s="8" t="s">
        <v>193</v>
      </c>
      <c r="D11" s="9" t="n">
        <v>2</v>
      </c>
      <c r="E11" s="9" t="n">
        <v>2</v>
      </c>
      <c r="F11" s="9" t="n">
        <v>1</v>
      </c>
      <c r="G11" s="11"/>
      <c r="H11" s="32"/>
    </row>
    <row r="12" customFormat="false" ht="15" hidden="false" customHeight="false" outlineLevel="0" collapsed="false">
      <c r="B12" s="9" t="n">
        <v>8</v>
      </c>
      <c r="C12" s="8" t="s">
        <v>194</v>
      </c>
      <c r="D12" s="9" t="n">
        <v>0</v>
      </c>
      <c r="E12" s="9" t="n">
        <v>1</v>
      </c>
      <c r="F12" s="9" t="n">
        <v>0</v>
      </c>
      <c r="G12" s="11"/>
      <c r="H12" s="32"/>
    </row>
    <row r="13" customFormat="false" ht="15" hidden="false" customHeight="false" outlineLevel="0" collapsed="false">
      <c r="B13" s="9" t="n">
        <v>9</v>
      </c>
      <c r="C13" s="8" t="s">
        <v>195</v>
      </c>
      <c r="D13" s="9" t="n">
        <v>1</v>
      </c>
      <c r="E13" s="9" t="n">
        <v>1</v>
      </c>
      <c r="F13" s="9" t="n">
        <v>1</v>
      </c>
      <c r="G13" s="11"/>
      <c r="H13" s="32"/>
    </row>
    <row r="14" customFormat="false" ht="15" hidden="false" customHeight="false" outlineLevel="0" collapsed="false">
      <c r="B14" s="9" t="n">
        <v>10</v>
      </c>
      <c r="C14" s="8" t="s">
        <v>196</v>
      </c>
      <c r="D14" s="9" t="n">
        <v>1</v>
      </c>
      <c r="E14" s="9" t="n">
        <v>2</v>
      </c>
      <c r="F14" s="9" t="n">
        <v>0</v>
      </c>
      <c r="G14" s="11"/>
      <c r="H14" s="32"/>
    </row>
    <row r="15" customFormat="false" ht="15" hidden="false" customHeight="false" outlineLevel="0" collapsed="false">
      <c r="C15" s="7" t="s">
        <v>197</v>
      </c>
      <c r="D15" s="32" t="n">
        <f aca="false">SUM(D5:D14)</f>
        <v>13</v>
      </c>
      <c r="E15" s="32"/>
      <c r="F15" s="32"/>
      <c r="G15" s="32" t="n">
        <f aca="false">SUM(G5:G14)</f>
        <v>0</v>
      </c>
    </row>
    <row r="16" customFormat="false" ht="30" hidden="false" customHeight="true" outlineLevel="0" collapsed="false">
      <c r="C16" s="33" t="s">
        <v>198</v>
      </c>
      <c r="D16" s="11" t="str">
        <f aca="false">IF(D15&gt;=16,"Good",IF(D15&gt;=11,"Needs work","Poor"))</f>
        <v>Needs work</v>
      </c>
      <c r="E16" s="11"/>
      <c r="F16" s="11"/>
      <c r="G16" s="11" t="str">
        <f aca="false">IF(G15&gt;=16,"Good",IF(G15&gt;=11,"Needs work","Poor"))</f>
        <v>Poor</v>
      </c>
    </row>
    <row r="17" customFormat="false" ht="15" hidden="false" customHeight="false" outlineLevel="0" collapsed="false">
      <c r="B17" s="17" t="s">
        <v>199</v>
      </c>
    </row>
    <row r="19" customFormat="false" ht="15" hidden="false" customHeight="false" outlineLevel="0" collapsed="false">
      <c r="B19" s="3" t="s">
        <v>140</v>
      </c>
      <c r="C19" s="4"/>
      <c r="D19" s="4"/>
      <c r="E19" s="4"/>
      <c r="F19" s="4"/>
      <c r="G19" s="4"/>
      <c r="H19" s="4"/>
    </row>
    <row r="20" customFormat="false" ht="31.5" hidden="false" customHeight="true" outlineLevel="0" collapsed="false">
      <c r="B20" s="8" t="s">
        <v>200</v>
      </c>
      <c r="C20" s="8"/>
      <c r="D20" s="8"/>
      <c r="E20" s="11"/>
      <c r="F20" s="11"/>
      <c r="G20" s="11"/>
    </row>
    <row r="21" customFormat="false" ht="30" hidden="false" customHeight="true" outlineLevel="0" collapsed="false">
      <c r="B21" s="8" t="s">
        <v>201</v>
      </c>
      <c r="C21" s="8"/>
      <c r="D21" s="8"/>
      <c r="E21" s="32"/>
      <c r="F21" s="32"/>
      <c r="G21" s="32"/>
    </row>
    <row r="22" customFormat="false" ht="30" hidden="false" customHeight="true" outlineLevel="0" collapsed="false">
      <c r="B22" s="8" t="s">
        <v>202</v>
      </c>
      <c r="C22" s="8"/>
      <c r="D22" s="8"/>
      <c r="E22" s="11"/>
      <c r="F22" s="11"/>
      <c r="G22" s="11"/>
    </row>
    <row r="23" customFormat="false" ht="109.5" hidden="false" customHeight="true" outlineLevel="0" collapsed="false">
      <c r="B23" s="8" t="s">
        <v>203</v>
      </c>
      <c r="C23" s="8"/>
      <c r="D23" s="8"/>
      <c r="E23" s="20"/>
      <c r="F23" s="20"/>
      <c r="G23" s="20"/>
      <c r="H23" s="20"/>
    </row>
  </sheetData>
  <mergeCells count="8">
    <mergeCell ref="B20:D20"/>
    <mergeCell ref="E20:G20"/>
    <mergeCell ref="B21:D21"/>
    <mergeCell ref="E21:G21"/>
    <mergeCell ref="B22:D22"/>
    <mergeCell ref="E22:G22"/>
    <mergeCell ref="B23:D23"/>
    <mergeCell ref="E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2026-10-11T04:34:57Z</dcterms:created>
  <dc:creator>openpyxl</dc:creator>
  <dc:description/>
  <dc:language>en-US</dc:language>
  <cp:lastModifiedBy/>
  <dcterms:modified xsi:type="dcterms:W3CDTF">2026-10-11T04:34:57Z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