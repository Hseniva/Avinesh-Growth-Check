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Data_Cleanup" sheetId="2" state="visible" r:id="rId4"/>
    <sheet name="2_KPI_Changes" sheetId="3" state="visible" r:id="rId5"/>
    <sheet name="3_Channel_Summary" sheetId="4" state="visible" r:id="rId6"/>
    <sheet name="4_Charts" sheetId="5" state="visible" r:id="rId7"/>
    <sheet name="5_Insights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<sst xmlns="http://schemas.openxmlformats.org/spreadsheetml/2006/main" count="295" uniqueCount="159">
  <si>
    <t xml:space="preserve">Week 18 Excel exercise: Performance Reporting &amp; Data Storytelling</t>
  </si>
  <si>
    <t xml:space="preserve">Maison Corail, homeware shop in Curepipe with a webshop (fictional, illustrative data). Digital Marketing &amp; AI, Oreegami Mauritius</t>
  </si>
  <si>
    <t xml:space="preserve">How to complete it</t>
  </si>
  <si>
    <t xml:space="preserve">1. Work through the 5 tabs in order. Each tab starts with a short brief. The quarter is Q3 2026 (July–September).</t>
  </si>
  <si>
    <t xml:space="preserve">2. Type your answers in the YELLOW cells only. Do not change the data cells.</t>
  </si>
  <si>
    <t xml:space="preserve">3. Use Excel formulas wherever you calculate something. Your trainer checks the formulas, not just the numbers.</t>
  </si>
  <si>
    <t xml:space="preserve">4. In each calculation table the first row (or column) is done for you as a worked example. Copy the formulas.</t>
  </si>
  <si>
    <t xml:space="preserve">5. Formulas you will need: SUM, SUMIF, SUMIFS, COUNTIF, INDEX/MATCH, MAX, IF, ROUND. Section numbers refer to the Week 18 guide.</t>
  </si>
  <si>
    <t xml:space="preserve">6. Definitions: revenue is EXCLUDING VAT (15%); "% change" = new ÷ old − 1; rates change in percentage points (new rate − old rate).</t>
  </si>
  <si>
    <t xml:space="preserve">7. Save the file as Week18_YourName.xlsx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</si>
  <si>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</si>
  <si>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</si>
  <si>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</si>
  <si>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</si>
  <si>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1_Data_Cleanup</t>
  </si>
  <si>
    <t xml:space="preserve">Map 36 raw source/medium labels to clean channels, remove test data, convert revenue to excl. VAT (Section 9)</t>
  </si>
  <si>
    <t xml:space="preserve">2_KPI_Changes</t>
  </si>
  <si>
    <t xml:space="preserve">Quarter totals, conversion rate, AOV, MER, CAC with MoM, QoQ and YoY changes and % of target (Sections 7, 10)</t>
  </si>
  <si>
    <t xml:space="preserve">3_Channel_Summary</t>
  </si>
  <si>
    <t xml:space="preserve">SUMIFS summary by channel and month (pivot-style), channel KPIs and share of revenue (Section 18)</t>
  </si>
  <si>
    <t xml:space="preserve">4_Charts</t>
  </si>
  <si>
    <t xml:space="preserve">Choose the right chart for 8 questions, build 2 charts with headline titles (Sections 14, 23)</t>
  </si>
  <si>
    <t xml:space="preserve">5_Insights_Summary</t>
  </si>
  <si>
    <t xml:space="preserve">3 insights in What / So what / Now what format and a 5-line executive summary (Sections 20, 24)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</si>
  <si>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</si>
  <si>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</si>
  <si>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</si>
  <si>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</si>
  <si>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Tab 1: Raw export, Q3 2026 (GA4 sessions + shop orders + ad spend, joined by source/medium)</t>
  </si>
  <si>
    <t xml:space="preserve">The labels come from three different exports, so the same channel is written in different ways. Revenue in the export INCLUDES 15% VAT.</t>
  </si>
  <si>
    <t xml:space="preserve">#</t>
  </si>
  <si>
    <t xml:space="preserve">Month</t>
  </si>
  <si>
    <t xml:space="preserve">Source / medium (raw)</t>
  </si>
  <si>
    <t xml:space="preserve">Sessions</t>
  </si>
  <si>
    <t xml:space="preserve">Orders</t>
  </si>
  <si>
    <t xml:space="preserve">Revenue incl. VAT (Rs)</t>
  </si>
  <si>
    <t xml:space="preserve">Ad spend (Rs)</t>
  </si>
  <si>
    <t xml:space="preserve">Clean channel</t>
  </si>
  <si>
    <t xml:space="preserve">Revenue excl. VAT (Rs)</t>
  </si>
  <si>
    <t xml:space="preserve">Raw label</t>
  </si>
  <si>
    <t xml:space="preserve">Jul 2026</t>
  </si>
  <si>
    <t xml:space="preserve">google / organic</t>
  </si>
  <si>
    <t xml:space="preserve">Organic search</t>
  </si>
  <si>
    <t xml:space="preserve">bing / organic</t>
  </si>
  <si>
    <t xml:space="preserve">google / cpc</t>
  </si>
  <si>
    <t xml:space="preserve">Paid search</t>
  </si>
  <si>
    <t xml:space="preserve">facebook / paid_social</t>
  </si>
  <si>
    <t xml:space="preserve">Google Ads</t>
  </si>
  <si>
    <t xml:space="preserve">ig / paid_social</t>
  </si>
  <si>
    <t xml:space="preserve">Paid social</t>
  </si>
  <si>
    <t xml:space="preserve">Facebook Ads</t>
  </si>
  <si>
    <t xml:space="preserve">newsletter / email</t>
  </si>
  <si>
    <t xml:space="preserve">Mailchimp</t>
  </si>
  <si>
    <t xml:space="preserve">Email</t>
  </si>
  <si>
    <t xml:space="preserve">facebook / social</t>
  </si>
  <si>
    <t xml:space="preserve">instagram / social</t>
  </si>
  <si>
    <t xml:space="preserve">Organic social</t>
  </si>
  <si>
    <t xml:space="preserve">(direct) / (none)</t>
  </si>
  <si>
    <t xml:space="preserve">staging.maisoncorail.mu / referral</t>
  </si>
  <si>
    <t xml:space="preserve">Direct</t>
  </si>
  <si>
    <t xml:space="preserve">Aug 2026</t>
  </si>
  <si>
    <t xml:space="preserve">Exclude</t>
  </si>
  <si>
    <t xml:space="preserve">Mapping table (Section 9). "Exclude" = internal test site.</t>
  </si>
  <si>
    <t xml:space="preserve">Sep 2026</t>
  </si>
  <si>
    <t xml:space="preserve">Row 5 is done for you. Copy the formulas in columns I and J down to row 40.</t>
  </si>
  <si>
    <t xml:space="preserve">Questions</t>
  </si>
  <si>
    <t xml:space="preserve">Q1. How many rows of the export map to "Paid social"? (COUNTIF)</t>
  </si>
  <si>
    <t xml:space="preserve">Q2. Total Q3 revenue excl. VAT for real channels (all rows minus "Exclude"), Rs</t>
  </si>
  <si>
    <t xml:space="preserve">Q3. Revenue excl. VAT from the internal test site that you removed, Rs (SUMIF)</t>
  </si>
  <si>
    <t xml:space="preserve">Q4. How many different raw labels in the mapping table belong to "Paid social"?</t>
  </si>
  <si>
    <t xml:space="preserve">Q5. In 2–3 sentences: what would go wrong in the report if you skipped the mapping and the VAT conversion?</t>
  </si>
  <si>
    <t xml:space="preserve">Tab 2: KPIs for the quarter, with MoM, QoQ and YoY changes</t>
  </si>
  <si>
    <t xml:space="preserve">Monthly totals after clean-up (confirmed by finance). Q2 2026 and Q3 2025 come from previous reports. Revenue excl. VAT.</t>
  </si>
  <si>
    <t xml:space="preserve">KPI</t>
  </si>
  <si>
    <t xml:space="preserve">Q3 2026 total</t>
  </si>
  <si>
    <t xml:space="preserve">Q2 2026</t>
  </si>
  <si>
    <t xml:space="preserve">Q3 2025</t>
  </si>
  <si>
    <t xml:space="preserve">Q3 target</t>
  </si>
  <si>
    <t xml:space="preserve">MoM (Sep vs Aug)</t>
  </si>
  <si>
    <t xml:space="preserve">QoQ (Q3 vs Q2)</t>
  </si>
  <si>
    <t xml:space="preserve">YoY (Q3 2026 vs Q3 2025)</t>
  </si>
  <si>
    <t xml:space="preserve">% of target</t>
  </si>
  <si>
    <t xml:space="preserve">–</t>
  </si>
  <si>
    <t xml:space="preserve">New customers</t>
  </si>
  <si>
    <t xml:space="preserve">Calculated KPIs (calculate from the totals in each column, never average the monthly rates)</t>
  </si>
  <si>
    <t xml:space="preserve">Change type</t>
  </si>
  <si>
    <t xml:space="preserve">Conversion rate (orders ÷ sessions)</t>
  </si>
  <si>
    <t xml:space="preserve">pts (new − old)</t>
  </si>
  <si>
    <t xml:space="preserve">Average order value, AOV (Rs)</t>
  </si>
  <si>
    <t xml:space="preserve">% change</t>
  </si>
  <si>
    <t xml:space="preserve">MER (revenue ÷ ad spend)</t>
  </si>
  <si>
    <t xml:space="preserve">CAC (ad spend ÷ new customers, Rs)</t>
  </si>
  <si>
    <t xml:space="preserve">Row 5 (Sessions) and cell C13 are done for you. For the conversion rate, the changes are in percentage points (e.g. +0.10% means +0.10 pts).</t>
  </si>
  <si>
    <t xml:space="preserve">Q1. Q3 2026 revenue as % of target</t>
  </si>
  <si>
    <t xml:space="preserve">Q2. Revenue growth YoY (Q3 2026 vs Q3 2025)</t>
  </si>
  <si>
    <t xml:space="preserve">Q3. Ad spend growth YoY</t>
  </si>
  <si>
    <t xml:space="preserve">Q4. CAC in Q3 2026 (Rs) and its YoY change: give the YoY change</t>
  </si>
  <si>
    <t xml:space="preserve">Q5. Change in conversion rate YoY, in percentage points</t>
  </si>
  <si>
    <t xml:space="preserve">Q6. Which month had the highest conversion rate? (INDEX/MATCH on row 13)</t>
  </si>
  <si>
    <t xml:space="preserve">Q7. Revenue grew strongly year on year. In 2–3 sentences, is this growth healthy? Use at least three numbers from the table.</t>
  </si>
  <si>
    <t xml:space="preserve">Tab 3: Summary by channel and month (pivot-style, with SUMIFS on Tab 1)</t>
  </si>
  <si>
    <t xml:space="preserve">Use the clean channel (column I) and revenue excl. VAT (column J) from Tab 1. Optional: build a PivotTable from Tab 1 to check your totals.</t>
  </si>
  <si>
    <t xml:space="preserve">A. Revenue excl. VAT by channel and month (Rs)</t>
  </si>
  <si>
    <t xml:space="preserve">Channel</t>
  </si>
  <si>
    <t xml:space="preserve">Q3 total</t>
  </si>
  <si>
    <t xml:space="preserve">Growth Jul → Sep</t>
  </si>
  <si>
    <t xml:space="preserve">Row 6 is done for you. Tip: the month headers in row 5 are used as the SUMIFS condition, so lock the row with C$5.</t>
  </si>
  <si>
    <t xml:space="preserve">B. Q3 2026 by channel</t>
  </si>
  <si>
    <t xml:space="preserve">Conversion rate</t>
  </si>
  <si>
    <t xml:space="preserve">Revenue per session (Rs)</t>
  </si>
  <si>
    <t xml:space="preserve">ROAS (paid only)</t>
  </si>
  <si>
    <t xml:space="preserve">Share of sessions</t>
  </si>
  <si>
    <t xml:space="preserve">Share of revenue</t>
  </si>
  <si>
    <t xml:space="preserve">Row 17 is done for you. Check: the Total revenue must equal Tab 1 Q2 and Tab 2 Q3 total.</t>
  </si>
  <si>
    <t xml:space="preserve">Q1. Channel with the highest Q3 revenue</t>
  </si>
  <si>
    <t xml:space="preserve">Q2. Channel with the highest conversion rate</t>
  </si>
  <si>
    <t xml:space="preserve">Q3. ROAS of Paid search divided by ROAS of Paid social (how many times better?)</t>
  </si>
  <si>
    <t xml:space="preserve">Q4. Channel whose revenue grew the most from July to September (table A)</t>
  </si>
  <si>
    <t xml:space="preserve">Q5. Paid social: share of sessions minus share of revenue (in points)</t>
  </si>
  <si>
    <t xml:space="preserve">Q6. Combine Tabs 2 and 3: in 2–3 sentences, which channel explains the fall in MER and conversion rate, and what does the data suggest about where the next Rs 20,000 should go?</t>
  </si>
  <si>
    <t xml:space="preserve">Tab 4: Choose the right chart, then build two</t>
  </si>
  <si>
    <t xml:space="preserve">Part A: pick the best chart from the drop-down for each question (Section 14). Part B: build 2 charts from the data blocks and write headline titles (Section 23).</t>
  </si>
  <si>
    <t xml:space="preserve">A. Which chart answers each question best?</t>
  </si>
  <si>
    <t xml:space="preserve">Question the reader asks</t>
  </si>
  <si>
    <t xml:space="preserve">Your choice (drop-down)</t>
  </si>
  <si>
    <t xml:space="preserve">Correct?</t>
  </si>
  <si>
    <t xml:space="preserve">What was our Q3 revenue, and how does it compare with last year?</t>
  </si>
  <si>
    <t xml:space="preserve">How did weekly sessions change over the last 12 months?</t>
  </si>
  <si>
    <t xml:space="preserve">Which of our 6 channels brought the most revenue in Q3?</t>
  </si>
  <si>
    <t xml:space="preserve">Did we reach the revenue target in July, August and September?</t>
  </si>
  <si>
    <t xml:space="preserve">How did the share of revenue by channel change between Q3 2025 and Q3 2026?</t>
  </si>
  <si>
    <t xml:space="preserve">Where do visitors drop off between product page, cart, checkout and purchase?</t>
  </si>
  <si>
    <t xml:space="preserve">Is there a relationship between weekly Meta spend and weekly Meta revenue?</t>
  </si>
  <si>
    <t xml:space="preserve">What are the exact sessions, orders and revenue of our 40 best-selling products?</t>
  </si>
  <si>
    <t xml:space="preserve">Choose from the drop-down list. Two options in the list are never a good choice.</t>
  </si>
  <si>
    <t xml:space="preserve">B. Data for your charts (fills in automatically from Tabs 2 and 3)</t>
  </si>
  <si>
    <t xml:space="preserve">Monthly target (Rs)</t>
  </si>
  <si>
    <t xml:space="preserve">Q3 revenue excl. VAT (Rs)</t>
  </si>
  <si>
    <t xml:space="preserve">Channels are already sorted from largest to smallest Q3 revenue (once Tab 3 is complete).</t>
  </si>
  <si>
    <t xml:space="preserve">Build the charts and write a headline title for each</t>
  </si>
  <si>
    <t xml:space="preserve">Chart 1</t>
  </si>
  <si>
    <t xml:space="preserve">Column chart of monthly revenue with the target as a line (combo chart). Place it to the right of this table.</t>
  </si>
  <si>
    <t xml:space="preserve">Chart 1 headline title (a full sentence that states the finding):</t>
  </si>
  <si>
    <t xml:space="preserve">Chart 2</t>
  </si>
  <si>
    <t xml:space="preserve">Horizontal bar chart of Q3 revenue by channel, sorted, with the channel you want to talk about in a highlight colour and the others in grey.</t>
  </si>
  <si>
    <t xml:space="preserve">Chart 2 headline title:</t>
  </si>
  <si>
    <t xml:space="preserve">Tab 5: Three insights and the executive summary</t>
  </si>
  <si>
    <t xml:space="preserve">Reader: the owner of Maison Corail, who reads on her phone. Use numbers from Tabs 2 and 3 (Sections 20 and 24).</t>
  </si>
  <si>
    <t xml:space="preserve">Headline (full sentence)</t>
  </si>
  <si>
    <t xml:space="preserve">What happened (fact + comparison)</t>
  </si>
  <si>
    <t xml:space="preserve">So what (why it matters, sized)</t>
  </si>
  <si>
    <t xml:space="preserve">Now what (action, owner, date, KPI)</t>
  </si>
  <si>
    <t xml:space="preserve">Each insight needs numbers and a comparison, a reason and a size, and an action with owner, date and KPI (Section 20).</t>
  </si>
  <si>
    <t xml:space="preserve">5-line executive summary (Section 24)</t>
  </si>
  <si>
    <t xml:space="preserve">1 · Headline</t>
  </si>
  <si>
    <t xml:space="preserve">2 · Main reason</t>
  </si>
  <si>
    <t xml:space="preserve">3 · Other insights</t>
  </si>
  <si>
    <t xml:space="preserve">4 · Recommendation and ask</t>
  </si>
  <si>
    <t xml:space="preserve">5 · Outlook / risk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</si>
</sst>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"/>
    <numFmt numFmtId="167" formatCode="0.0%"/>
    <numFmt numFmtId="168" formatCode="0.00%"/>
    <numFmt numFmtId="169" formatCode="\+0.00%;\-0.00%"/>
    <numFmt numFmtId="170" formatCode="0.00"/>
    <numFmt numFmtId="171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1" customFormat="false" ht="15" hidden="false" customHeight="false" outlineLevel="0" collapsed="false">
      <c r="B11" s="5" t="s">
        <v>9</v>
      </c>
    </row>
    <row r="13" customFormat="false" ht="15" hidden="false" customHeight="false" outlineLevel="0" collapsed="false">
      <c r="B13" s="3" t="s">
        <v>10</v>
      </c>
      <c r="C13" s="4"/>
      <c r="D13" s="4"/>
      <c r="E13" s="4"/>
    </row>
    <row r="14" customFormat="false" ht="15" hidden="false" customHeight="false" outlineLevel="0" collapsed="false">
      <c r="B14" s="6" t="s">
        <v>11</v>
      </c>
      <c r="C14" s="6" t="s">
        <v>12</v>
      </c>
      <c r="D14" s="6" t="s">
        <v>13</v>
      </c>
    </row>
    <row r="15" customFormat="false" ht="27.75" hidden="false" customHeight="true" outlineLevel="0" collapsed="false">
      <c r="B15" s="7" t="s">
        <v>14</v>
      </c>
      <c r="C15" s="8" t="s">
        <v>15</v>
      </c>
      <c r="D15" s="9" t="n">
        <v>4</v>
      </c>
    </row>
    <row r="16" customFormat="false" ht="27.75" hidden="false" customHeight="true" outlineLevel="0" collapsed="false">
      <c r="B16" s="7" t="s">
        <v>16</v>
      </c>
      <c r="C16" s="8" t="s">
        <v>17</v>
      </c>
      <c r="D16" s="9" t="n">
        <v>5</v>
      </c>
    </row>
    <row r="17" customFormat="false" ht="27.75" hidden="false" customHeight="true" outlineLevel="0" collapsed="false">
      <c r="B17" s="7" t="s">
        <v>18</v>
      </c>
      <c r="C17" s="8" t="s">
        <v>19</v>
      </c>
      <c r="D17" s="9" t="n">
        <v>4</v>
      </c>
    </row>
    <row r="18" customFormat="false" ht="27.75" hidden="false" customHeight="true" outlineLevel="0" collapsed="false">
      <c r="B18" s="7" t="s">
        <v>20</v>
      </c>
      <c r="C18" s="8" t="s">
        <v>21</v>
      </c>
      <c r="D18" s="9" t="n">
        <v>3</v>
      </c>
    </row>
    <row r="19" customFormat="false" ht="27.75" hidden="false" customHeight="true" outlineLevel="0" collapsed="false">
      <c r="B19" s="7" t="s">
        <v>22</v>
      </c>
      <c r="C19" s="8" t="s">
        <v>23</v>
      </c>
      <c r="D19" s="9" t="n">
        <v>4</v>
      </c>
    </row>
    <row r="20" customFormat="false" ht="15" hidden="false" customHeight="false" outlineLevel="0" collapsed="false">
      <c r="B20" s="7" t="s">
        <v>24</v>
      </c>
      <c r="D20" s="7" t="n">
        <f aca="false">SUM(D15:D19)</f>
        <v>20</v>
      </c>
    </row>
    <row r="22" customFormat="false" ht="15" hidden="false" customHeight="false" outlineLevel="0" collapsed="false">
      <c r="B22" s="10" t="s">
        <v>25</v>
      </c>
      <c r="C22" s="11" t="s">
        <v>26</v>
      </c>
      <c r="D22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3"/>
    <col collapsed="false" customWidth="true" hidden="false" outlineLevel="0" max="12" min="12" style="0" width="32"/>
    <col collapsed="false" customWidth="true" hidden="false" outlineLevel="0" max="13" min="13" style="0" width="16"/>
  </cols>
  <sheetData>
    <row r="1" customFormat="false" ht="17.3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39.75" hidden="false" customHeight="true" outlineLevel="0" collapsed="false"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L4" s="6" t="s">
        <v>39</v>
      </c>
      <c r="M4" s="6" t="s">
        <v>37</v>
      </c>
    </row>
    <row r="5" customFormat="false" ht="15" hidden="false" customHeight="false" outlineLevel="0" collapsed="false">
      <c r="B5" s="9" t="n">
        <v>1</v>
      </c>
      <c r="C5" s="9" t="s">
        <v>40</v>
      </c>
      <c r="D5" s="9" t="s">
        <v>41</v>
      </c>
      <c r="E5" s="13" t="n">
        <v>2880</v>
      </c>
      <c r="F5" s="13" t="n">
        <v>58</v>
      </c>
      <c r="G5" s="13" t="n">
        <v>165600</v>
      </c>
      <c r="H5" s="13" t="n">
        <v>0</v>
      </c>
      <c r="I5" s="11" t="str">
        <f aca="false">INDEX($M$5:$M$17,MATCH(D5,$L$5:$L$17,0))</f>
        <v>Organic search</v>
      </c>
      <c r="J5" s="14" t="n">
        <f aca="false">ROUND(G5/1.15,0)</f>
        <v>144000</v>
      </c>
      <c r="L5" s="9" t="s">
        <v>41</v>
      </c>
      <c r="M5" s="9" t="s">
        <v>42</v>
      </c>
    </row>
    <row r="6" customFormat="false" ht="15" hidden="false" customHeight="false" outlineLevel="0" collapsed="false">
      <c r="B6" s="9" t="n">
        <v>2</v>
      </c>
      <c r="C6" s="9" t="s">
        <v>40</v>
      </c>
      <c r="D6" s="9" t="s">
        <v>43</v>
      </c>
      <c r="E6" s="13" t="n">
        <v>320</v>
      </c>
      <c r="F6" s="13" t="n">
        <v>6</v>
      </c>
      <c r="G6" s="13" t="n">
        <v>18400</v>
      </c>
      <c r="H6" s="13" t="n">
        <v>0</v>
      </c>
      <c r="I6" s="11"/>
      <c r="J6" s="14"/>
      <c r="L6" s="9" t="s">
        <v>43</v>
      </c>
      <c r="M6" s="9" t="s">
        <v>42</v>
      </c>
    </row>
    <row r="7" customFormat="false" ht="15" hidden="false" customHeight="false" outlineLevel="0" collapsed="false">
      <c r="B7" s="9" t="n">
        <v>3</v>
      </c>
      <c r="C7" s="9" t="s">
        <v>40</v>
      </c>
      <c r="D7" s="9" t="s">
        <v>44</v>
      </c>
      <c r="E7" s="13" t="n">
        <v>1800</v>
      </c>
      <c r="F7" s="13" t="n">
        <v>54</v>
      </c>
      <c r="G7" s="13" t="n">
        <v>161000</v>
      </c>
      <c r="H7" s="13" t="n">
        <v>28000</v>
      </c>
      <c r="I7" s="11"/>
      <c r="J7" s="14"/>
      <c r="L7" s="9" t="s">
        <v>44</v>
      </c>
      <c r="M7" s="9" t="s">
        <v>45</v>
      </c>
    </row>
    <row r="8" customFormat="false" ht="15" hidden="false" customHeight="false" outlineLevel="0" collapsed="false">
      <c r="B8" s="9" t="n">
        <v>4</v>
      </c>
      <c r="C8" s="9" t="s">
        <v>40</v>
      </c>
      <c r="D8" s="9" t="s">
        <v>46</v>
      </c>
      <c r="E8" s="13" t="n">
        <v>2520</v>
      </c>
      <c r="F8" s="13" t="n">
        <v>25</v>
      </c>
      <c r="G8" s="13" t="n">
        <v>63480</v>
      </c>
      <c r="H8" s="13" t="n">
        <v>18000</v>
      </c>
      <c r="I8" s="11"/>
      <c r="J8" s="14"/>
      <c r="L8" s="9" t="s">
        <v>47</v>
      </c>
      <c r="M8" s="9" t="s">
        <v>45</v>
      </c>
    </row>
    <row r="9" customFormat="false" ht="15" hidden="false" customHeight="false" outlineLevel="0" collapsed="false">
      <c r="B9" s="9" t="n">
        <v>5</v>
      </c>
      <c r="C9" s="9" t="s">
        <v>40</v>
      </c>
      <c r="D9" s="9" t="s">
        <v>48</v>
      </c>
      <c r="E9" s="13" t="n">
        <v>1260</v>
      </c>
      <c r="F9" s="13" t="n">
        <v>13</v>
      </c>
      <c r="G9" s="13" t="n">
        <v>31740</v>
      </c>
      <c r="H9" s="13" t="n">
        <v>9000</v>
      </c>
      <c r="I9" s="11"/>
      <c r="J9" s="14"/>
      <c r="L9" s="9" t="s">
        <v>46</v>
      </c>
      <c r="M9" s="9" t="s">
        <v>49</v>
      </c>
    </row>
    <row r="10" customFormat="false" ht="15" hidden="false" customHeight="false" outlineLevel="0" collapsed="false">
      <c r="B10" s="9" t="n">
        <v>6</v>
      </c>
      <c r="C10" s="9" t="s">
        <v>40</v>
      </c>
      <c r="D10" s="9" t="s">
        <v>50</v>
      </c>
      <c r="E10" s="13" t="n">
        <v>420</v>
      </c>
      <c r="F10" s="13" t="n">
        <v>4</v>
      </c>
      <c r="G10" s="13" t="n">
        <v>10580</v>
      </c>
      <c r="H10" s="13" t="n">
        <v>3000</v>
      </c>
      <c r="I10" s="11"/>
      <c r="J10" s="14"/>
      <c r="L10" s="9" t="s">
        <v>48</v>
      </c>
      <c r="M10" s="9" t="s">
        <v>49</v>
      </c>
    </row>
    <row r="11" customFormat="false" ht="15" hidden="false" customHeight="false" outlineLevel="0" collapsed="false">
      <c r="B11" s="9" t="n">
        <v>7</v>
      </c>
      <c r="C11" s="9" t="s">
        <v>40</v>
      </c>
      <c r="D11" s="9" t="s">
        <v>51</v>
      </c>
      <c r="E11" s="13" t="n">
        <v>420</v>
      </c>
      <c r="F11" s="13" t="n">
        <v>19</v>
      </c>
      <c r="G11" s="13" t="n">
        <v>53130</v>
      </c>
      <c r="H11" s="13" t="n">
        <v>0</v>
      </c>
      <c r="I11" s="11"/>
      <c r="J11" s="14"/>
      <c r="L11" s="9" t="s">
        <v>50</v>
      </c>
      <c r="M11" s="9" t="s">
        <v>49</v>
      </c>
    </row>
    <row r="12" customFormat="false" ht="15" hidden="false" customHeight="false" outlineLevel="0" collapsed="false">
      <c r="B12" s="9" t="n">
        <v>8</v>
      </c>
      <c r="C12" s="9" t="s">
        <v>40</v>
      </c>
      <c r="D12" s="9" t="s">
        <v>52</v>
      </c>
      <c r="E12" s="13" t="n">
        <v>180</v>
      </c>
      <c r="F12" s="13" t="n">
        <v>8</v>
      </c>
      <c r="G12" s="13" t="n">
        <v>22770</v>
      </c>
      <c r="H12" s="13" t="n">
        <v>0</v>
      </c>
      <c r="I12" s="11"/>
      <c r="J12" s="14"/>
      <c r="L12" s="9" t="s">
        <v>51</v>
      </c>
      <c r="M12" s="9" t="s">
        <v>53</v>
      </c>
    </row>
    <row r="13" customFormat="false" ht="15" hidden="false" customHeight="false" outlineLevel="0" collapsed="false">
      <c r="B13" s="9" t="n">
        <v>9</v>
      </c>
      <c r="C13" s="9" t="s">
        <v>40</v>
      </c>
      <c r="D13" s="9" t="s">
        <v>54</v>
      </c>
      <c r="E13" s="13" t="n">
        <v>750</v>
      </c>
      <c r="F13" s="13" t="n">
        <v>8</v>
      </c>
      <c r="G13" s="13" t="n">
        <v>18975</v>
      </c>
      <c r="H13" s="13" t="n">
        <v>0</v>
      </c>
      <c r="I13" s="11"/>
      <c r="J13" s="14"/>
      <c r="L13" s="9" t="s">
        <v>52</v>
      </c>
      <c r="M13" s="9" t="s">
        <v>53</v>
      </c>
    </row>
    <row r="14" customFormat="false" ht="15" hidden="false" customHeight="false" outlineLevel="0" collapsed="false">
      <c r="B14" s="9" t="n">
        <v>10</v>
      </c>
      <c r="C14" s="9" t="s">
        <v>40</v>
      </c>
      <c r="D14" s="9" t="s">
        <v>55</v>
      </c>
      <c r="E14" s="13" t="n">
        <v>750</v>
      </c>
      <c r="F14" s="13" t="n">
        <v>7</v>
      </c>
      <c r="G14" s="13" t="n">
        <v>18975</v>
      </c>
      <c r="H14" s="13" t="n">
        <v>0</v>
      </c>
      <c r="I14" s="11"/>
      <c r="J14" s="14"/>
      <c r="L14" s="9" t="s">
        <v>54</v>
      </c>
      <c r="M14" s="9" t="s">
        <v>56</v>
      </c>
    </row>
    <row r="15" customFormat="false" ht="15" hidden="false" customHeight="false" outlineLevel="0" collapsed="false">
      <c r="B15" s="9" t="n">
        <v>11</v>
      </c>
      <c r="C15" s="9" t="s">
        <v>40</v>
      </c>
      <c r="D15" s="9" t="s">
        <v>57</v>
      </c>
      <c r="E15" s="13" t="n">
        <v>1400</v>
      </c>
      <c r="F15" s="13" t="n">
        <v>35</v>
      </c>
      <c r="G15" s="13" t="n">
        <v>101200</v>
      </c>
      <c r="H15" s="13" t="n">
        <v>0</v>
      </c>
      <c r="I15" s="11"/>
      <c r="J15" s="14"/>
      <c r="L15" s="9" t="s">
        <v>55</v>
      </c>
      <c r="M15" s="9" t="s">
        <v>56</v>
      </c>
    </row>
    <row r="16" customFormat="false" ht="15" hidden="false" customHeight="false" outlineLevel="0" collapsed="false">
      <c r="B16" s="9" t="n">
        <v>12</v>
      </c>
      <c r="C16" s="9" t="s">
        <v>40</v>
      </c>
      <c r="D16" s="9" t="s">
        <v>58</v>
      </c>
      <c r="E16" s="13" t="n">
        <v>40</v>
      </c>
      <c r="F16" s="13" t="n">
        <v>3</v>
      </c>
      <c r="G16" s="13" t="n">
        <v>9200</v>
      </c>
      <c r="H16" s="13" t="n">
        <v>0</v>
      </c>
      <c r="I16" s="11"/>
      <c r="J16" s="14"/>
      <c r="L16" s="9" t="s">
        <v>57</v>
      </c>
      <c r="M16" s="9" t="s">
        <v>59</v>
      </c>
    </row>
    <row r="17" customFormat="false" ht="15" hidden="false" customHeight="false" outlineLevel="0" collapsed="false">
      <c r="B17" s="9" t="n">
        <v>13</v>
      </c>
      <c r="C17" s="9" t="s">
        <v>60</v>
      </c>
      <c r="D17" s="9" t="s">
        <v>41</v>
      </c>
      <c r="E17" s="13" t="n">
        <v>3150</v>
      </c>
      <c r="F17" s="13" t="n">
        <v>66</v>
      </c>
      <c r="G17" s="13" t="n">
        <v>188370</v>
      </c>
      <c r="H17" s="13" t="n">
        <v>0</v>
      </c>
      <c r="I17" s="11"/>
      <c r="J17" s="14"/>
      <c r="L17" s="9" t="s">
        <v>58</v>
      </c>
      <c r="M17" s="9" t="s">
        <v>61</v>
      </c>
    </row>
    <row r="18" customFormat="false" ht="15" hidden="false" customHeight="false" outlineLevel="0" collapsed="false">
      <c r="B18" s="9" t="n">
        <v>14</v>
      </c>
      <c r="C18" s="9" t="s">
        <v>60</v>
      </c>
      <c r="D18" s="9" t="s">
        <v>43</v>
      </c>
      <c r="E18" s="13" t="n">
        <v>350</v>
      </c>
      <c r="F18" s="13" t="n">
        <v>7</v>
      </c>
      <c r="G18" s="13" t="n">
        <v>20930</v>
      </c>
      <c r="H18" s="13" t="n">
        <v>0</v>
      </c>
      <c r="I18" s="11"/>
      <c r="J18" s="14"/>
      <c r="L18" s="2" t="s">
        <v>62</v>
      </c>
    </row>
    <row r="19" customFormat="false" ht="15" hidden="false" customHeight="false" outlineLevel="0" collapsed="false">
      <c r="B19" s="9" t="n">
        <v>15</v>
      </c>
      <c r="C19" s="9" t="s">
        <v>60</v>
      </c>
      <c r="D19" s="9" t="s">
        <v>47</v>
      </c>
      <c r="E19" s="13" t="n">
        <v>1900</v>
      </c>
      <c r="F19" s="13" t="n">
        <v>57</v>
      </c>
      <c r="G19" s="13" t="n">
        <v>172500</v>
      </c>
      <c r="H19" s="13" t="n">
        <v>30000</v>
      </c>
      <c r="I19" s="11"/>
      <c r="J19" s="14"/>
    </row>
    <row r="20" customFormat="false" ht="15" hidden="false" customHeight="false" outlineLevel="0" collapsed="false">
      <c r="B20" s="9" t="n">
        <v>16</v>
      </c>
      <c r="C20" s="9" t="s">
        <v>60</v>
      </c>
      <c r="D20" s="9" t="s">
        <v>46</v>
      </c>
      <c r="E20" s="13" t="n">
        <v>3360</v>
      </c>
      <c r="F20" s="13" t="n">
        <v>30</v>
      </c>
      <c r="G20" s="13" t="n">
        <v>74520</v>
      </c>
      <c r="H20" s="13" t="n">
        <v>25200</v>
      </c>
      <c r="I20" s="11"/>
      <c r="J20" s="14"/>
    </row>
    <row r="21" customFormat="false" ht="15" hidden="false" customHeight="false" outlineLevel="0" collapsed="false">
      <c r="B21" s="9" t="n">
        <v>17</v>
      </c>
      <c r="C21" s="9" t="s">
        <v>60</v>
      </c>
      <c r="D21" s="9" t="s">
        <v>48</v>
      </c>
      <c r="E21" s="13" t="n">
        <v>1680</v>
      </c>
      <c r="F21" s="13" t="n">
        <v>15</v>
      </c>
      <c r="G21" s="13" t="n">
        <v>37260</v>
      </c>
      <c r="H21" s="13" t="n">
        <v>12600</v>
      </c>
      <c r="I21" s="11"/>
      <c r="J21" s="14"/>
    </row>
    <row r="22" customFormat="false" ht="15" hidden="false" customHeight="false" outlineLevel="0" collapsed="false">
      <c r="B22" s="9" t="n">
        <v>18</v>
      </c>
      <c r="C22" s="9" t="s">
        <v>60</v>
      </c>
      <c r="D22" s="9" t="s">
        <v>50</v>
      </c>
      <c r="E22" s="13" t="n">
        <v>560</v>
      </c>
      <c r="F22" s="13" t="n">
        <v>5</v>
      </c>
      <c r="G22" s="13" t="n">
        <v>12420</v>
      </c>
      <c r="H22" s="13" t="n">
        <v>4200</v>
      </c>
      <c r="I22" s="11"/>
      <c r="J22" s="14"/>
    </row>
    <row r="23" customFormat="false" ht="15" hidden="false" customHeight="false" outlineLevel="0" collapsed="false">
      <c r="B23" s="9" t="n">
        <v>19</v>
      </c>
      <c r="C23" s="9" t="s">
        <v>60</v>
      </c>
      <c r="D23" s="9" t="s">
        <v>51</v>
      </c>
      <c r="E23" s="13" t="n">
        <v>490</v>
      </c>
      <c r="F23" s="13" t="n">
        <v>23</v>
      </c>
      <c r="G23" s="13" t="n">
        <v>64400</v>
      </c>
      <c r="H23" s="13" t="n">
        <v>0</v>
      </c>
      <c r="I23" s="11"/>
      <c r="J23" s="14"/>
    </row>
    <row r="24" customFormat="false" ht="15" hidden="false" customHeight="false" outlineLevel="0" collapsed="false">
      <c r="B24" s="9" t="n">
        <v>20</v>
      </c>
      <c r="C24" s="9" t="s">
        <v>60</v>
      </c>
      <c r="D24" s="9" t="s">
        <v>52</v>
      </c>
      <c r="E24" s="13" t="n">
        <v>210</v>
      </c>
      <c r="F24" s="13" t="n">
        <v>10</v>
      </c>
      <c r="G24" s="13" t="n">
        <v>27600</v>
      </c>
      <c r="H24" s="13" t="n">
        <v>0</v>
      </c>
      <c r="I24" s="11"/>
      <c r="J24" s="14"/>
    </row>
    <row r="25" customFormat="false" ht="15" hidden="false" customHeight="false" outlineLevel="0" collapsed="false">
      <c r="B25" s="9" t="n">
        <v>21</v>
      </c>
      <c r="C25" s="9" t="s">
        <v>60</v>
      </c>
      <c r="D25" s="9" t="s">
        <v>54</v>
      </c>
      <c r="E25" s="13" t="n">
        <v>800</v>
      </c>
      <c r="F25" s="13" t="n">
        <v>8</v>
      </c>
      <c r="G25" s="13" t="n">
        <v>19550</v>
      </c>
      <c r="H25" s="13" t="n">
        <v>0</v>
      </c>
      <c r="I25" s="11"/>
      <c r="J25" s="14"/>
    </row>
    <row r="26" customFormat="false" ht="15" hidden="false" customHeight="false" outlineLevel="0" collapsed="false">
      <c r="B26" s="9" t="n">
        <v>22</v>
      </c>
      <c r="C26" s="9" t="s">
        <v>60</v>
      </c>
      <c r="D26" s="9" t="s">
        <v>55</v>
      </c>
      <c r="E26" s="13" t="n">
        <v>800</v>
      </c>
      <c r="F26" s="13" t="n">
        <v>7</v>
      </c>
      <c r="G26" s="13" t="n">
        <v>19550</v>
      </c>
      <c r="H26" s="13" t="n">
        <v>0</v>
      </c>
      <c r="I26" s="11"/>
      <c r="J26" s="14"/>
    </row>
    <row r="27" customFormat="false" ht="15" hidden="false" customHeight="false" outlineLevel="0" collapsed="false">
      <c r="B27" s="9" t="n">
        <v>23</v>
      </c>
      <c r="C27" s="9" t="s">
        <v>60</v>
      </c>
      <c r="D27" s="9" t="s">
        <v>57</v>
      </c>
      <c r="E27" s="13" t="n">
        <v>1500</v>
      </c>
      <c r="F27" s="13" t="n">
        <v>37</v>
      </c>
      <c r="G27" s="13" t="n">
        <v>106950</v>
      </c>
      <c r="H27" s="13" t="n">
        <v>0</v>
      </c>
      <c r="I27" s="11"/>
      <c r="J27" s="14"/>
    </row>
    <row r="28" customFormat="false" ht="15" hidden="false" customHeight="false" outlineLevel="0" collapsed="false">
      <c r="B28" s="9" t="n">
        <v>24</v>
      </c>
      <c r="C28" s="9" t="s">
        <v>60</v>
      </c>
      <c r="D28" s="9" t="s">
        <v>58</v>
      </c>
      <c r="E28" s="13" t="n">
        <v>40</v>
      </c>
      <c r="F28" s="13" t="n">
        <v>3</v>
      </c>
      <c r="G28" s="13" t="n">
        <v>6900</v>
      </c>
      <c r="H28" s="13" t="n">
        <v>0</v>
      </c>
      <c r="I28" s="11"/>
      <c r="J28" s="14"/>
    </row>
    <row r="29" customFormat="false" ht="15" hidden="false" customHeight="false" outlineLevel="0" collapsed="false">
      <c r="B29" s="9" t="n">
        <v>25</v>
      </c>
      <c r="C29" s="9" t="s">
        <v>63</v>
      </c>
      <c r="D29" s="9" t="s">
        <v>41</v>
      </c>
      <c r="E29" s="13" t="n">
        <v>3510</v>
      </c>
      <c r="F29" s="13" t="n">
        <v>76</v>
      </c>
      <c r="G29" s="13" t="n">
        <v>221490</v>
      </c>
      <c r="H29" s="13" t="n">
        <v>0</v>
      </c>
      <c r="I29" s="11"/>
      <c r="J29" s="14"/>
    </row>
    <row r="30" customFormat="false" ht="15" hidden="false" customHeight="false" outlineLevel="0" collapsed="false">
      <c r="B30" s="9" t="n">
        <v>26</v>
      </c>
      <c r="C30" s="9" t="s">
        <v>63</v>
      </c>
      <c r="D30" s="9" t="s">
        <v>43</v>
      </c>
      <c r="E30" s="13" t="n">
        <v>390</v>
      </c>
      <c r="F30" s="13" t="n">
        <v>8</v>
      </c>
      <c r="G30" s="13" t="n">
        <v>24610</v>
      </c>
      <c r="H30" s="13" t="n">
        <v>0</v>
      </c>
      <c r="I30" s="11"/>
      <c r="J30" s="14"/>
    </row>
    <row r="31" customFormat="false" ht="15" hidden="false" customHeight="false" outlineLevel="0" collapsed="false">
      <c r="B31" s="9" t="n">
        <v>27</v>
      </c>
      <c r="C31" s="9" t="s">
        <v>63</v>
      </c>
      <c r="D31" s="9" t="s">
        <v>44</v>
      </c>
      <c r="E31" s="13" t="n">
        <v>2000</v>
      </c>
      <c r="F31" s="13" t="n">
        <v>62</v>
      </c>
      <c r="G31" s="13" t="n">
        <v>189750</v>
      </c>
      <c r="H31" s="13" t="n">
        <v>31000</v>
      </c>
      <c r="I31" s="11"/>
      <c r="J31" s="14"/>
    </row>
    <row r="32" customFormat="false" ht="15" hidden="false" customHeight="false" outlineLevel="0" collapsed="false">
      <c r="B32" s="9" t="n">
        <v>28</v>
      </c>
      <c r="C32" s="9" t="s">
        <v>63</v>
      </c>
      <c r="D32" s="9" t="s">
        <v>46</v>
      </c>
      <c r="E32" s="13" t="n">
        <v>4320</v>
      </c>
      <c r="F32" s="13" t="n">
        <v>33</v>
      </c>
      <c r="G32" s="13" t="n">
        <v>79350</v>
      </c>
      <c r="H32" s="13" t="n">
        <v>33600</v>
      </c>
      <c r="I32" s="11"/>
      <c r="J32" s="14"/>
    </row>
    <row r="33" customFormat="false" ht="15" hidden="false" customHeight="false" outlineLevel="0" collapsed="false">
      <c r="B33" s="9" t="n">
        <v>29</v>
      </c>
      <c r="C33" s="9" t="s">
        <v>63</v>
      </c>
      <c r="D33" s="9" t="s">
        <v>48</v>
      </c>
      <c r="E33" s="13" t="n">
        <v>2160</v>
      </c>
      <c r="F33" s="13" t="n">
        <v>16</v>
      </c>
      <c r="G33" s="13" t="n">
        <v>39675</v>
      </c>
      <c r="H33" s="13" t="n">
        <v>16800</v>
      </c>
      <c r="I33" s="11"/>
      <c r="J33" s="14"/>
    </row>
    <row r="34" customFormat="false" ht="15" hidden="false" customHeight="false" outlineLevel="0" collapsed="false">
      <c r="B34" s="9" t="n">
        <v>30</v>
      </c>
      <c r="C34" s="9" t="s">
        <v>63</v>
      </c>
      <c r="D34" s="9" t="s">
        <v>50</v>
      </c>
      <c r="E34" s="13" t="n">
        <v>720</v>
      </c>
      <c r="F34" s="13" t="n">
        <v>6</v>
      </c>
      <c r="G34" s="13" t="n">
        <v>13225</v>
      </c>
      <c r="H34" s="13" t="n">
        <v>5600</v>
      </c>
      <c r="I34" s="11"/>
      <c r="J34" s="14"/>
    </row>
    <row r="35" customFormat="false" ht="15" hidden="false" customHeight="false" outlineLevel="0" collapsed="false">
      <c r="B35" s="9" t="n">
        <v>31</v>
      </c>
      <c r="C35" s="9" t="s">
        <v>63</v>
      </c>
      <c r="D35" s="9" t="s">
        <v>51</v>
      </c>
      <c r="E35" s="13" t="n">
        <v>560</v>
      </c>
      <c r="F35" s="13" t="n">
        <v>28</v>
      </c>
      <c r="G35" s="13" t="n">
        <v>79695</v>
      </c>
      <c r="H35" s="13" t="n">
        <v>0</v>
      </c>
      <c r="I35" s="11"/>
      <c r="J35" s="14"/>
    </row>
    <row r="36" customFormat="false" ht="15" hidden="false" customHeight="false" outlineLevel="0" collapsed="false">
      <c r="B36" s="9" t="n">
        <v>32</v>
      </c>
      <c r="C36" s="9" t="s">
        <v>63</v>
      </c>
      <c r="D36" s="9" t="s">
        <v>52</v>
      </c>
      <c r="E36" s="13" t="n">
        <v>240</v>
      </c>
      <c r="F36" s="13" t="n">
        <v>12</v>
      </c>
      <c r="G36" s="13" t="n">
        <v>34155</v>
      </c>
      <c r="H36" s="13" t="n">
        <v>0</v>
      </c>
      <c r="I36" s="11"/>
      <c r="J36" s="14"/>
    </row>
    <row r="37" customFormat="false" ht="15" hidden="false" customHeight="false" outlineLevel="0" collapsed="false">
      <c r="B37" s="9" t="n">
        <v>33</v>
      </c>
      <c r="C37" s="9" t="s">
        <v>63</v>
      </c>
      <c r="D37" s="9" t="s">
        <v>54</v>
      </c>
      <c r="E37" s="13" t="n">
        <v>750</v>
      </c>
      <c r="F37" s="13" t="n">
        <v>7</v>
      </c>
      <c r="G37" s="13" t="n">
        <v>17825</v>
      </c>
      <c r="H37" s="13" t="n">
        <v>0</v>
      </c>
      <c r="I37" s="11"/>
      <c r="J37" s="14"/>
    </row>
    <row r="38" customFormat="false" ht="15" hidden="false" customHeight="false" outlineLevel="0" collapsed="false">
      <c r="B38" s="9" t="n">
        <v>34</v>
      </c>
      <c r="C38" s="9" t="s">
        <v>63</v>
      </c>
      <c r="D38" s="9" t="s">
        <v>55</v>
      </c>
      <c r="E38" s="13" t="n">
        <v>750</v>
      </c>
      <c r="F38" s="13" t="n">
        <v>7</v>
      </c>
      <c r="G38" s="13" t="n">
        <v>17825</v>
      </c>
      <c r="H38" s="13" t="n">
        <v>0</v>
      </c>
      <c r="I38" s="11"/>
      <c r="J38" s="14"/>
    </row>
    <row r="39" customFormat="false" ht="15" hidden="false" customHeight="false" outlineLevel="0" collapsed="false">
      <c r="B39" s="9" t="n">
        <v>35</v>
      </c>
      <c r="C39" s="9" t="s">
        <v>63</v>
      </c>
      <c r="D39" s="9" t="s">
        <v>57</v>
      </c>
      <c r="E39" s="13" t="n">
        <v>1550</v>
      </c>
      <c r="F39" s="13" t="n">
        <v>38</v>
      </c>
      <c r="G39" s="13" t="n">
        <v>110400</v>
      </c>
      <c r="H39" s="13" t="n">
        <v>0</v>
      </c>
      <c r="I39" s="11"/>
      <c r="J39" s="14"/>
    </row>
    <row r="40" customFormat="false" ht="15" hidden="false" customHeight="false" outlineLevel="0" collapsed="false">
      <c r="B40" s="9" t="n">
        <v>36</v>
      </c>
      <c r="C40" s="9" t="s">
        <v>63</v>
      </c>
      <c r="D40" s="9" t="s">
        <v>58</v>
      </c>
      <c r="E40" s="13" t="n">
        <v>40</v>
      </c>
      <c r="F40" s="13" t="n">
        <v>3</v>
      </c>
      <c r="G40" s="13" t="n">
        <v>10350</v>
      </c>
      <c r="H40" s="13" t="n">
        <v>0</v>
      </c>
      <c r="I40" s="11"/>
      <c r="J40" s="14"/>
    </row>
    <row r="41" customFormat="false" ht="15" hidden="false" customHeight="false" outlineLevel="0" collapsed="false">
      <c r="B41" s="15" t="s">
        <v>64</v>
      </c>
    </row>
    <row r="43" customFormat="false" ht="15" hidden="false" customHeight="false" outlineLevel="0" collapsed="false">
      <c r="B43" s="3" t="s">
        <v>65</v>
      </c>
      <c r="C43" s="4"/>
      <c r="D43" s="4"/>
      <c r="E43" s="4"/>
      <c r="F43" s="4"/>
      <c r="G43" s="4"/>
      <c r="H43" s="4"/>
      <c r="I43" s="4"/>
      <c r="J43" s="4"/>
    </row>
    <row r="44" customFormat="false" ht="30" hidden="false" customHeight="true" outlineLevel="0" collapsed="false">
      <c r="B44" s="8" t="s">
        <v>66</v>
      </c>
      <c r="C44" s="8"/>
      <c r="D44" s="8"/>
      <c r="E44" s="8"/>
      <c r="F44" s="8"/>
      <c r="G44" s="8"/>
      <c r="H44" s="8"/>
      <c r="I44" s="16"/>
      <c r="J44" s="16"/>
    </row>
    <row r="45" customFormat="false" ht="30" hidden="false" customHeight="true" outlineLevel="0" collapsed="false">
      <c r="B45" s="8" t="s">
        <v>67</v>
      </c>
      <c r="C45" s="8"/>
      <c r="D45" s="8"/>
      <c r="E45" s="8"/>
      <c r="F45" s="8"/>
      <c r="G45" s="8"/>
      <c r="H45" s="8"/>
      <c r="I45" s="14"/>
      <c r="J45" s="14"/>
    </row>
    <row r="46" customFormat="false" ht="30" hidden="false" customHeight="true" outlineLevel="0" collapsed="false">
      <c r="B46" s="8" t="s">
        <v>68</v>
      </c>
      <c r="C46" s="8"/>
      <c r="D46" s="8"/>
      <c r="E46" s="8"/>
      <c r="F46" s="8"/>
      <c r="G46" s="8"/>
      <c r="H46" s="8"/>
      <c r="I46" s="14"/>
      <c r="J46" s="14"/>
    </row>
    <row r="47" customFormat="false" ht="30" hidden="false" customHeight="true" outlineLevel="0" collapsed="false">
      <c r="B47" s="8" t="s">
        <v>69</v>
      </c>
      <c r="C47" s="8"/>
      <c r="D47" s="8"/>
      <c r="E47" s="8"/>
      <c r="F47" s="8"/>
      <c r="G47" s="8"/>
      <c r="H47" s="8"/>
      <c r="I47" s="16"/>
      <c r="J47" s="16"/>
    </row>
    <row r="48" customFormat="false" ht="94.5" hidden="false" customHeight="true" outlineLevel="0" collapsed="false">
      <c r="B48" s="8" t="s">
        <v>70</v>
      </c>
      <c r="C48" s="8"/>
      <c r="D48" s="8"/>
      <c r="E48" s="8"/>
      <c r="F48" s="8"/>
      <c r="G48" s="8"/>
      <c r="H48" s="8"/>
      <c r="I48" s="17"/>
      <c r="J48" s="17"/>
      <c r="K48" s="17"/>
      <c r="L48" s="17"/>
      <c r="M48" s="17"/>
    </row>
  </sheetData>
  <mergeCells count="10">
    <mergeCell ref="B44:H44"/>
    <mergeCell ref="I44:J44"/>
    <mergeCell ref="B45:H45"/>
    <mergeCell ref="I45:J45"/>
    <mergeCell ref="B46:H46"/>
    <mergeCell ref="I46:J46"/>
    <mergeCell ref="B47:H47"/>
    <mergeCell ref="I47:J47"/>
    <mergeCell ref="B48:H48"/>
    <mergeCell ref="I48:M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9" min="3" style="0" width="12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14"/>
  </cols>
  <sheetData>
    <row r="1" customFormat="false" ht="17.35" hidden="false" customHeight="false" outlineLevel="0" collapsed="false">
      <c r="B1" s="1" t="s">
        <v>71</v>
      </c>
    </row>
    <row r="2" customFormat="false" ht="15" hidden="false" customHeight="false" outlineLevel="0" collapsed="false">
      <c r="B2" s="2" t="s">
        <v>72</v>
      </c>
    </row>
    <row r="4" customFormat="false" ht="42" hidden="false" customHeight="true" outlineLevel="0" collapsed="false">
      <c r="B4" s="6" t="s">
        <v>73</v>
      </c>
      <c r="C4" s="6" t="s">
        <v>40</v>
      </c>
      <c r="D4" s="6" t="s">
        <v>60</v>
      </c>
      <c r="E4" s="6" t="s">
        <v>63</v>
      </c>
      <c r="F4" s="6" t="s">
        <v>74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</row>
    <row r="5" customFormat="false" ht="15" hidden="false" customHeight="false" outlineLevel="0" collapsed="false">
      <c r="B5" s="7" t="s">
        <v>33</v>
      </c>
      <c r="C5" s="13" t="n">
        <v>12700</v>
      </c>
      <c r="D5" s="13" t="n">
        <v>14800</v>
      </c>
      <c r="E5" s="13" t="n">
        <v>16950</v>
      </c>
      <c r="F5" s="14" t="n">
        <f aca="false">SUM(C5:E5)</f>
        <v>44450</v>
      </c>
      <c r="G5" s="13" t="n">
        <v>38000</v>
      </c>
      <c r="H5" s="13" t="n">
        <v>33500</v>
      </c>
      <c r="I5" s="13"/>
      <c r="J5" s="18" t="n">
        <f aca="false">E5/D5-1</f>
        <v>0.14527027027027</v>
      </c>
      <c r="K5" s="18" t="n">
        <f aca="false">F5/G5-1</f>
        <v>0.169736842105263</v>
      </c>
      <c r="L5" s="18" t="n">
        <f aca="false">F5/H5-1</f>
        <v>0.326865671641791</v>
      </c>
      <c r="M5" s="9" t="s">
        <v>82</v>
      </c>
    </row>
    <row r="6" customFormat="false" ht="15" hidden="false" customHeight="false" outlineLevel="0" collapsed="false">
      <c r="B6" s="7" t="s">
        <v>34</v>
      </c>
      <c r="C6" s="13" t="n">
        <v>237</v>
      </c>
      <c r="D6" s="13" t="n">
        <v>265</v>
      </c>
      <c r="E6" s="13" t="n">
        <v>293</v>
      </c>
      <c r="F6" s="14"/>
      <c r="G6" s="13" t="n">
        <v>712</v>
      </c>
      <c r="H6" s="13" t="n">
        <v>640</v>
      </c>
      <c r="I6" s="13" t="n">
        <v>820</v>
      </c>
      <c r="J6" s="18"/>
      <c r="K6" s="18"/>
      <c r="L6" s="18"/>
      <c r="M6" s="18"/>
    </row>
    <row r="7" customFormat="false" ht="15" hidden="false" customHeight="false" outlineLevel="0" collapsed="false">
      <c r="B7" s="7" t="s">
        <v>83</v>
      </c>
      <c r="C7" s="13" t="n">
        <v>150</v>
      </c>
      <c r="D7" s="13" t="n">
        <v>168</v>
      </c>
      <c r="E7" s="13" t="n">
        <v>181</v>
      </c>
      <c r="F7" s="14"/>
      <c r="G7" s="13" t="n">
        <v>455</v>
      </c>
      <c r="H7" s="13" t="n">
        <v>400</v>
      </c>
      <c r="I7" s="13"/>
      <c r="J7" s="18"/>
      <c r="K7" s="18"/>
      <c r="L7" s="18"/>
      <c r="M7" s="9" t="s">
        <v>82</v>
      </c>
    </row>
    <row r="8" customFormat="false" ht="15" hidden="false" customHeight="false" outlineLevel="0" collapsed="false">
      <c r="B8" s="7" t="s">
        <v>38</v>
      </c>
      <c r="C8" s="13" t="n">
        <v>579000</v>
      </c>
      <c r="D8" s="13" t="n">
        <v>647000</v>
      </c>
      <c r="E8" s="13" t="n">
        <v>720000</v>
      </c>
      <c r="F8" s="14"/>
      <c r="G8" s="13" t="n">
        <v>1720000</v>
      </c>
      <c r="H8" s="13" t="n">
        <v>1600000</v>
      </c>
      <c r="I8" s="13" t="n">
        <v>2000000</v>
      </c>
      <c r="J8" s="18"/>
      <c r="K8" s="18"/>
      <c r="L8" s="18"/>
      <c r="M8" s="18"/>
    </row>
    <row r="9" customFormat="false" ht="15" hidden="false" customHeight="false" outlineLevel="0" collapsed="false">
      <c r="B9" s="7" t="s">
        <v>36</v>
      </c>
      <c r="C9" s="13" t="n">
        <v>58000</v>
      </c>
      <c r="D9" s="13" t="n">
        <v>72000</v>
      </c>
      <c r="E9" s="13" t="n">
        <v>87000</v>
      </c>
      <c r="F9" s="14"/>
      <c r="G9" s="13" t="n">
        <v>175000</v>
      </c>
      <c r="H9" s="13" t="n">
        <v>140000</v>
      </c>
      <c r="I9" s="13"/>
      <c r="J9" s="18"/>
      <c r="K9" s="18"/>
      <c r="L9" s="18"/>
      <c r="M9" s="9" t="s">
        <v>82</v>
      </c>
    </row>
    <row r="11" customFormat="false" ht="15" hidden="false" customHeight="false" outlineLevel="0" collapsed="false">
      <c r="B11" s="3" t="s">
        <v>84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42" hidden="false" customHeight="true" outlineLevel="0" collapsed="false">
      <c r="B12" s="6" t="s">
        <v>73</v>
      </c>
      <c r="C12" s="6" t="s">
        <v>40</v>
      </c>
      <c r="D12" s="6" t="s">
        <v>60</v>
      </c>
      <c r="E12" s="6" t="s">
        <v>63</v>
      </c>
      <c r="F12" s="6" t="s">
        <v>74</v>
      </c>
      <c r="G12" s="6" t="s">
        <v>75</v>
      </c>
      <c r="H12" s="6" t="s">
        <v>76</v>
      </c>
      <c r="I12" s="6" t="s">
        <v>77</v>
      </c>
      <c r="J12" s="6" t="s">
        <v>78</v>
      </c>
      <c r="K12" s="6" t="s">
        <v>79</v>
      </c>
      <c r="L12" s="6" t="s">
        <v>80</v>
      </c>
      <c r="M12" s="6" t="s">
        <v>85</v>
      </c>
    </row>
    <row r="13" customFormat="false" ht="15" hidden="false" customHeight="false" outlineLevel="0" collapsed="false">
      <c r="B13" s="7" t="s">
        <v>86</v>
      </c>
      <c r="C13" s="19" t="n">
        <f aca="false">C6/C5</f>
        <v>0.0186614173228346</v>
      </c>
      <c r="D13" s="19"/>
      <c r="E13" s="19"/>
      <c r="F13" s="19"/>
      <c r="G13" s="19"/>
      <c r="H13" s="19"/>
      <c r="I13" s="20" t="n">
        <v>0.019</v>
      </c>
      <c r="J13" s="21" t="n">
        <f aca="false">E13-D13</f>
        <v>0</v>
      </c>
      <c r="K13" s="21" t="n">
        <f aca="false">F13-G13</f>
        <v>0</v>
      </c>
      <c r="L13" s="21" t="n">
        <f aca="false">F13-H13</f>
        <v>0</v>
      </c>
      <c r="M13" s="9" t="s">
        <v>87</v>
      </c>
    </row>
    <row r="14" customFormat="false" ht="15" hidden="false" customHeight="false" outlineLevel="0" collapsed="false">
      <c r="B14" s="7" t="s">
        <v>88</v>
      </c>
      <c r="C14" s="14"/>
      <c r="D14" s="14"/>
      <c r="E14" s="14"/>
      <c r="F14" s="14"/>
      <c r="G14" s="14"/>
      <c r="H14" s="14"/>
      <c r="I14" s="13"/>
      <c r="J14" s="18"/>
      <c r="K14" s="18"/>
      <c r="L14" s="18"/>
      <c r="M14" s="9" t="s">
        <v>89</v>
      </c>
    </row>
    <row r="15" customFormat="false" ht="15" hidden="false" customHeight="false" outlineLevel="0" collapsed="false">
      <c r="B15" s="7" t="s">
        <v>90</v>
      </c>
      <c r="C15" s="22"/>
      <c r="D15" s="22"/>
      <c r="E15" s="22"/>
      <c r="F15" s="22"/>
      <c r="G15" s="22"/>
      <c r="H15" s="22"/>
      <c r="I15" s="23"/>
      <c r="J15" s="18"/>
      <c r="K15" s="18"/>
      <c r="L15" s="18"/>
      <c r="M15" s="9" t="s">
        <v>89</v>
      </c>
    </row>
    <row r="16" customFormat="false" ht="15" hidden="false" customHeight="false" outlineLevel="0" collapsed="false">
      <c r="B16" s="7" t="s">
        <v>91</v>
      </c>
      <c r="C16" s="14"/>
      <c r="D16" s="14"/>
      <c r="E16" s="14"/>
      <c r="F16" s="14"/>
      <c r="G16" s="14"/>
      <c r="H16" s="14"/>
      <c r="I16" s="13" t="n">
        <v>400</v>
      </c>
      <c r="J16" s="18"/>
      <c r="K16" s="18"/>
      <c r="L16" s="18"/>
      <c r="M16" s="9" t="s">
        <v>89</v>
      </c>
    </row>
    <row r="17" customFormat="false" ht="15" hidden="false" customHeight="false" outlineLevel="0" collapsed="false">
      <c r="B17" s="15" t="s">
        <v>92</v>
      </c>
    </row>
    <row r="19" customFormat="false" ht="15" hidden="false" customHeight="false" outlineLevel="0" collapsed="false">
      <c r="B19" s="3" t="s">
        <v>65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30" hidden="false" customHeight="true" outlineLevel="0" collapsed="false">
      <c r="B20" s="8" t="s">
        <v>93</v>
      </c>
      <c r="C20" s="8"/>
      <c r="D20" s="8"/>
      <c r="E20" s="8"/>
      <c r="F20" s="8"/>
      <c r="G20" s="8"/>
      <c r="H20" s="8"/>
      <c r="I20" s="18"/>
      <c r="J20" s="18"/>
    </row>
    <row r="21" customFormat="false" ht="30" hidden="false" customHeight="true" outlineLevel="0" collapsed="false">
      <c r="B21" s="8" t="s">
        <v>94</v>
      </c>
      <c r="C21" s="8"/>
      <c r="D21" s="8"/>
      <c r="E21" s="8"/>
      <c r="F21" s="8"/>
      <c r="G21" s="8"/>
      <c r="H21" s="8"/>
      <c r="I21" s="18"/>
      <c r="J21" s="18"/>
    </row>
    <row r="22" customFormat="false" ht="30" hidden="false" customHeight="true" outlineLevel="0" collapsed="false">
      <c r="B22" s="8" t="s">
        <v>95</v>
      </c>
      <c r="C22" s="8"/>
      <c r="D22" s="8"/>
      <c r="E22" s="8"/>
      <c r="F22" s="8"/>
      <c r="G22" s="8"/>
      <c r="H22" s="8"/>
      <c r="I22" s="18"/>
      <c r="J22" s="18"/>
    </row>
    <row r="23" customFormat="false" ht="30" hidden="false" customHeight="true" outlineLevel="0" collapsed="false">
      <c r="B23" s="8" t="s">
        <v>96</v>
      </c>
      <c r="C23" s="8"/>
      <c r="D23" s="8"/>
      <c r="E23" s="8"/>
      <c r="F23" s="8"/>
      <c r="G23" s="8"/>
      <c r="H23" s="8"/>
      <c r="I23" s="18"/>
      <c r="J23" s="18"/>
    </row>
    <row r="24" customFormat="false" ht="30" hidden="false" customHeight="true" outlineLevel="0" collapsed="false">
      <c r="B24" s="8" t="s">
        <v>97</v>
      </c>
      <c r="C24" s="8"/>
      <c r="D24" s="8"/>
      <c r="E24" s="8"/>
      <c r="F24" s="8"/>
      <c r="G24" s="8"/>
      <c r="H24" s="8"/>
      <c r="I24" s="21"/>
      <c r="J24" s="21"/>
    </row>
    <row r="25" customFormat="false" ht="30" hidden="false" customHeight="true" outlineLevel="0" collapsed="false">
      <c r="B25" s="8" t="s">
        <v>98</v>
      </c>
      <c r="C25" s="8"/>
      <c r="D25" s="8"/>
      <c r="E25" s="8"/>
      <c r="F25" s="8"/>
      <c r="G25" s="8"/>
      <c r="H25" s="8"/>
      <c r="I25" s="11"/>
      <c r="J25" s="11"/>
    </row>
    <row r="26" customFormat="false" ht="109.5" hidden="false" customHeight="true" outlineLevel="0" collapsed="false">
      <c r="B26" s="8" t="s">
        <v>99</v>
      </c>
      <c r="C26" s="8"/>
      <c r="D26" s="8"/>
      <c r="E26" s="8"/>
      <c r="F26" s="8"/>
      <c r="G26" s="8"/>
      <c r="H26" s="8"/>
      <c r="I26" s="17"/>
      <c r="J26" s="17"/>
      <c r="K26" s="17"/>
      <c r="L26" s="17"/>
      <c r="M26" s="17"/>
    </row>
  </sheetData>
  <mergeCells count="14">
    <mergeCell ref="B20:H20"/>
    <mergeCell ref="I20:J20"/>
    <mergeCell ref="B21:H21"/>
    <mergeCell ref="I21:J21"/>
    <mergeCell ref="B22:H22"/>
    <mergeCell ref="I22:J22"/>
    <mergeCell ref="B23:H23"/>
    <mergeCell ref="I23:J23"/>
    <mergeCell ref="B24:H24"/>
    <mergeCell ref="I24:J24"/>
    <mergeCell ref="B25:H25"/>
    <mergeCell ref="I25:J25"/>
    <mergeCell ref="B26:H26"/>
    <mergeCell ref="I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12" min="9" style="0" width="11"/>
  </cols>
  <sheetData>
    <row r="1" customFormat="false" ht="17.35" hidden="false" customHeight="false" outlineLevel="0" collapsed="false">
      <c r="B1" s="1" t="s">
        <v>100</v>
      </c>
    </row>
    <row r="2" customFormat="false" ht="15" hidden="false" customHeight="false" outlineLevel="0" collapsed="false">
      <c r="B2" s="2" t="s">
        <v>101</v>
      </c>
    </row>
    <row r="4" customFormat="false" ht="15" hidden="false" customHeight="false" outlineLevel="0" collapsed="false">
      <c r="B4" s="3" t="s">
        <v>102</v>
      </c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B5" s="6" t="s">
        <v>103</v>
      </c>
      <c r="C5" s="6" t="s">
        <v>40</v>
      </c>
      <c r="D5" s="6" t="s">
        <v>60</v>
      </c>
      <c r="E5" s="6" t="s">
        <v>63</v>
      </c>
      <c r="F5" s="6" t="s">
        <v>104</v>
      </c>
      <c r="G5" s="6" t="s">
        <v>105</v>
      </c>
    </row>
    <row r="6" customFormat="false" ht="15" hidden="false" customHeight="false" outlineLevel="0" collapsed="false">
      <c r="B6" s="7" t="s">
        <v>42</v>
      </c>
      <c r="C6" s="14" t="n">
        <f aca="false">SUMIFS(1_Data_Cleanup!$J$5:$J$40,1_Data_Cleanup!$I$5:$I$40,$B6,1_Data_Cleanup!$C$5:$C$40,C$5)</f>
        <v>144000</v>
      </c>
      <c r="D6" s="14" t="n">
        <f aca="false">SUMIFS(1_Data_Cleanup!$J$5:$J$40,1_Data_Cleanup!$I$5:$I$40,$B6,1_Data_Cleanup!$C$5:$C$40,D$5)</f>
        <v>0</v>
      </c>
      <c r="E6" s="14" t="n">
        <f aca="false">SUMIFS(1_Data_Cleanup!$J$5:$J$40,1_Data_Cleanup!$I$5:$I$40,$B6,1_Data_Cleanup!$C$5:$C$40,E$5)</f>
        <v>0</v>
      </c>
      <c r="F6" s="14" t="n">
        <f aca="false">SUM(C6:E6)</f>
        <v>144000</v>
      </c>
      <c r="G6" s="18" t="n">
        <f aca="false">E6/C6-1</f>
        <v>-1</v>
      </c>
    </row>
    <row r="7" customFormat="false" ht="15" hidden="false" customHeight="false" outlineLevel="0" collapsed="false">
      <c r="B7" s="7" t="s">
        <v>45</v>
      </c>
      <c r="C7" s="14"/>
      <c r="D7" s="14"/>
      <c r="E7" s="14"/>
      <c r="F7" s="14"/>
      <c r="G7" s="18"/>
    </row>
    <row r="8" customFormat="false" ht="15" hidden="false" customHeight="false" outlineLevel="0" collapsed="false">
      <c r="B8" s="7" t="s">
        <v>49</v>
      </c>
      <c r="C8" s="14"/>
      <c r="D8" s="14"/>
      <c r="E8" s="14"/>
      <c r="F8" s="14"/>
      <c r="G8" s="18"/>
    </row>
    <row r="9" customFormat="false" ht="15" hidden="false" customHeight="false" outlineLevel="0" collapsed="false">
      <c r="B9" s="7" t="s">
        <v>53</v>
      </c>
      <c r="C9" s="14"/>
      <c r="D9" s="14"/>
      <c r="E9" s="14"/>
      <c r="F9" s="14"/>
      <c r="G9" s="18"/>
    </row>
    <row r="10" customFormat="false" ht="15" hidden="false" customHeight="false" outlineLevel="0" collapsed="false">
      <c r="B10" s="7" t="s">
        <v>56</v>
      </c>
      <c r="C10" s="14"/>
      <c r="D10" s="14"/>
      <c r="E10" s="14"/>
      <c r="F10" s="14"/>
      <c r="G10" s="18"/>
    </row>
    <row r="11" customFormat="false" ht="15" hidden="false" customHeight="false" outlineLevel="0" collapsed="false">
      <c r="B11" s="7" t="s">
        <v>59</v>
      </c>
      <c r="C11" s="14"/>
      <c r="D11" s="14"/>
      <c r="E11" s="14"/>
      <c r="F11" s="14"/>
      <c r="G11" s="18"/>
    </row>
    <row r="12" customFormat="false" ht="15" hidden="false" customHeight="false" outlineLevel="0" collapsed="false">
      <c r="B12" s="7" t="s">
        <v>24</v>
      </c>
      <c r="C12" s="14"/>
      <c r="D12" s="14"/>
      <c r="E12" s="14"/>
      <c r="F12" s="14"/>
      <c r="G12" s="18"/>
    </row>
    <row r="13" customFormat="false" ht="15" hidden="false" customHeight="false" outlineLevel="0" collapsed="false">
      <c r="B13" s="15" t="s">
        <v>106</v>
      </c>
    </row>
    <row r="15" customFormat="false" ht="15" hidden="false" customHeight="false" outlineLevel="0" collapsed="false">
      <c r="B15" s="3" t="s">
        <v>107</v>
      </c>
      <c r="C15" s="4"/>
      <c r="D15" s="4"/>
      <c r="E15" s="4"/>
      <c r="F15" s="4"/>
      <c r="G15" s="4"/>
      <c r="H15" s="4"/>
      <c r="I15" s="4"/>
      <c r="J15" s="4"/>
      <c r="K15" s="4"/>
    </row>
    <row r="16" customFormat="false" ht="42" hidden="false" customHeight="true" outlineLevel="0" collapsed="false">
      <c r="B16" s="6" t="s">
        <v>103</v>
      </c>
      <c r="C16" s="6" t="s">
        <v>33</v>
      </c>
      <c r="D16" s="6" t="s">
        <v>34</v>
      </c>
      <c r="E16" s="6" t="s">
        <v>38</v>
      </c>
      <c r="F16" s="6" t="s">
        <v>36</v>
      </c>
      <c r="G16" s="6" t="s">
        <v>108</v>
      </c>
      <c r="H16" s="6" t="s">
        <v>109</v>
      </c>
      <c r="I16" s="6" t="s">
        <v>110</v>
      </c>
      <c r="J16" s="6" t="s">
        <v>111</v>
      </c>
      <c r="K16" s="6" t="s">
        <v>112</v>
      </c>
    </row>
    <row r="17" customFormat="false" ht="15" hidden="false" customHeight="false" outlineLevel="0" collapsed="false">
      <c r="B17" s="7" t="s">
        <v>42</v>
      </c>
      <c r="C17" s="14" t="n">
        <f aca="false">SUMIFS(1_Data_Cleanup!$E$5:$E$40,1_Data_Cleanup!$I$5:$I$40,$B17)</f>
        <v>2880</v>
      </c>
      <c r="D17" s="14" t="n">
        <f aca="false">SUMIFS(1_Data_Cleanup!$F$5:$F$40,1_Data_Cleanup!$I$5:$I$40,$B17)</f>
        <v>58</v>
      </c>
      <c r="E17" s="14" t="n">
        <f aca="false">SUMIFS(1_Data_Cleanup!$J$5:$J$40,1_Data_Cleanup!$I$5:$I$40,$B17)</f>
        <v>144000</v>
      </c>
      <c r="F17" s="14" t="n">
        <f aca="false">SUMIFS(1_Data_Cleanup!$H$5:$H$40,1_Data_Cleanup!$I$5:$I$40,$B17)</f>
        <v>0</v>
      </c>
      <c r="G17" s="19" t="n">
        <f aca="false">D17/C17</f>
        <v>0.0201388888888889</v>
      </c>
      <c r="H17" s="24" t="n">
        <f aca="false">E17/C17</f>
        <v>50</v>
      </c>
      <c r="I17" s="22" t="str">
        <f aca="false">IF(F17&gt;0,E17/F17,"–")</f>
        <v>–</v>
      </c>
      <c r="J17" s="18" t="n">
        <f aca="false">IFERROR(C17/C$23,0)</f>
        <v>0</v>
      </c>
      <c r="K17" s="18" t="n">
        <f aca="false">IFERROR(E17/E$23,0)</f>
        <v>0</v>
      </c>
    </row>
    <row r="18" customFormat="false" ht="15" hidden="false" customHeight="false" outlineLevel="0" collapsed="false">
      <c r="B18" s="7" t="s">
        <v>45</v>
      </c>
      <c r="C18" s="14"/>
      <c r="D18" s="14"/>
      <c r="E18" s="14"/>
      <c r="F18" s="14"/>
      <c r="G18" s="19"/>
      <c r="H18" s="24"/>
      <c r="I18" s="22"/>
      <c r="J18" s="18"/>
      <c r="K18" s="18"/>
    </row>
    <row r="19" customFormat="false" ht="15" hidden="false" customHeight="false" outlineLevel="0" collapsed="false">
      <c r="B19" s="7" t="s">
        <v>49</v>
      </c>
      <c r="C19" s="14"/>
      <c r="D19" s="14"/>
      <c r="E19" s="14"/>
      <c r="F19" s="14"/>
      <c r="G19" s="19"/>
      <c r="H19" s="24"/>
      <c r="I19" s="22"/>
      <c r="J19" s="18"/>
      <c r="K19" s="18"/>
    </row>
    <row r="20" customFormat="false" ht="15" hidden="false" customHeight="false" outlineLevel="0" collapsed="false">
      <c r="B20" s="7" t="s">
        <v>53</v>
      </c>
      <c r="C20" s="14"/>
      <c r="D20" s="14"/>
      <c r="E20" s="14"/>
      <c r="F20" s="14"/>
      <c r="G20" s="19"/>
      <c r="H20" s="24"/>
      <c r="I20" s="22"/>
      <c r="J20" s="18"/>
      <c r="K20" s="18"/>
    </row>
    <row r="21" customFormat="false" ht="15" hidden="false" customHeight="false" outlineLevel="0" collapsed="false">
      <c r="B21" s="7" t="s">
        <v>56</v>
      </c>
      <c r="C21" s="14"/>
      <c r="D21" s="14"/>
      <c r="E21" s="14"/>
      <c r="F21" s="14"/>
      <c r="G21" s="19"/>
      <c r="H21" s="24"/>
      <c r="I21" s="22"/>
      <c r="J21" s="18"/>
      <c r="K21" s="18"/>
    </row>
    <row r="22" customFormat="false" ht="15" hidden="false" customHeight="false" outlineLevel="0" collapsed="false">
      <c r="B22" s="7" t="s">
        <v>59</v>
      </c>
      <c r="C22" s="14"/>
      <c r="D22" s="14"/>
      <c r="E22" s="14"/>
      <c r="F22" s="14"/>
      <c r="G22" s="19"/>
      <c r="H22" s="24"/>
      <c r="I22" s="22"/>
      <c r="J22" s="18"/>
      <c r="K22" s="18"/>
    </row>
    <row r="23" customFormat="false" ht="15" hidden="false" customHeight="false" outlineLevel="0" collapsed="false">
      <c r="B23" s="7" t="s">
        <v>24</v>
      </c>
      <c r="C23" s="14"/>
      <c r="D23" s="14"/>
      <c r="E23" s="14"/>
      <c r="F23" s="14"/>
      <c r="G23" s="19"/>
      <c r="H23" s="24"/>
      <c r="I23" s="22"/>
    </row>
    <row r="24" customFormat="false" ht="15" hidden="false" customHeight="false" outlineLevel="0" collapsed="false">
      <c r="B24" s="15" t="s">
        <v>113</v>
      </c>
    </row>
    <row r="26" customFormat="false" ht="15" hidden="false" customHeight="false" outlineLevel="0" collapsed="false">
      <c r="B26" s="3" t="s">
        <v>65</v>
      </c>
      <c r="C26" s="4"/>
      <c r="D26" s="4"/>
      <c r="E26" s="4"/>
      <c r="F26" s="4"/>
      <c r="G26" s="4"/>
      <c r="H26" s="4"/>
      <c r="I26" s="4"/>
      <c r="J26" s="4"/>
      <c r="K26" s="4"/>
    </row>
    <row r="27" customFormat="false" ht="30" hidden="false" customHeight="true" outlineLevel="0" collapsed="false">
      <c r="B27" s="8" t="s">
        <v>114</v>
      </c>
      <c r="C27" s="8"/>
      <c r="D27" s="8"/>
      <c r="E27" s="8"/>
      <c r="F27" s="8"/>
      <c r="G27" s="8"/>
      <c r="H27" s="8"/>
      <c r="I27" s="11"/>
      <c r="J27" s="11"/>
    </row>
    <row r="28" customFormat="false" ht="30" hidden="false" customHeight="true" outlineLevel="0" collapsed="false">
      <c r="B28" s="8" t="s">
        <v>115</v>
      </c>
      <c r="C28" s="8"/>
      <c r="D28" s="8"/>
      <c r="E28" s="8"/>
      <c r="F28" s="8"/>
      <c r="G28" s="8"/>
      <c r="H28" s="8"/>
      <c r="I28" s="11"/>
      <c r="J28" s="11"/>
    </row>
    <row r="29" customFormat="false" ht="30" hidden="false" customHeight="true" outlineLevel="0" collapsed="false">
      <c r="B29" s="8" t="s">
        <v>116</v>
      </c>
      <c r="C29" s="8"/>
      <c r="D29" s="8"/>
      <c r="E29" s="8"/>
      <c r="F29" s="8"/>
      <c r="G29" s="8"/>
      <c r="H29" s="8"/>
      <c r="I29" s="22"/>
      <c r="J29" s="22"/>
    </row>
    <row r="30" customFormat="false" ht="30" hidden="false" customHeight="true" outlineLevel="0" collapsed="false">
      <c r="B30" s="8" t="s">
        <v>117</v>
      </c>
      <c r="C30" s="8"/>
      <c r="D30" s="8"/>
      <c r="E30" s="8"/>
      <c r="F30" s="8"/>
      <c r="G30" s="8"/>
      <c r="H30" s="8"/>
      <c r="I30" s="11"/>
      <c r="J30" s="11"/>
    </row>
    <row r="31" customFormat="false" ht="30" hidden="false" customHeight="true" outlineLevel="0" collapsed="false">
      <c r="B31" s="8" t="s">
        <v>118</v>
      </c>
      <c r="C31" s="8"/>
      <c r="D31" s="8"/>
      <c r="E31" s="8"/>
      <c r="F31" s="8"/>
      <c r="G31" s="8"/>
      <c r="H31" s="8"/>
      <c r="I31" s="18"/>
      <c r="J31" s="18"/>
    </row>
    <row r="32" customFormat="false" ht="120" hidden="false" customHeight="true" outlineLevel="0" collapsed="false">
      <c r="B32" s="8" t="s">
        <v>119</v>
      </c>
      <c r="C32" s="8"/>
      <c r="D32" s="8"/>
      <c r="E32" s="8"/>
      <c r="F32" s="8"/>
      <c r="G32" s="8"/>
      <c r="H32" s="8"/>
      <c r="I32" s="17"/>
      <c r="J32" s="17"/>
      <c r="K32" s="17"/>
      <c r="L32" s="17"/>
    </row>
  </sheetData>
  <mergeCells count="12">
    <mergeCell ref="B27:H27"/>
    <mergeCell ref="I27:J27"/>
    <mergeCell ref="B28:H28"/>
    <mergeCell ref="I28:J28"/>
    <mergeCell ref="B29:H29"/>
    <mergeCell ref="I29:J29"/>
    <mergeCell ref="B30:H30"/>
    <mergeCell ref="I30:J30"/>
    <mergeCell ref="B31:H31"/>
    <mergeCell ref="I31:J31"/>
    <mergeCell ref="B32:H32"/>
    <mergeCell ref="I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12"/>
  </cols>
  <sheetData>
    <row r="1" customFormat="false" ht="17.35" hidden="false" customHeight="false" outlineLevel="0" collapsed="false">
      <c r="B1" s="1" t="s">
        <v>120</v>
      </c>
    </row>
    <row r="2" customFormat="false" ht="15" hidden="false" customHeight="false" outlineLevel="0" collapsed="false">
      <c r="B2" s="2" t="s">
        <v>121</v>
      </c>
    </row>
    <row r="4" customFormat="false" ht="15" hidden="false" customHeight="false" outlineLevel="0" collapsed="false">
      <c r="B4" s="3" t="s">
        <v>122</v>
      </c>
      <c r="C4" s="4"/>
      <c r="D4" s="4"/>
      <c r="E4" s="4"/>
      <c r="F4" s="4"/>
      <c r="G4" s="4"/>
    </row>
    <row r="5" customFormat="false" ht="15" hidden="false" customHeight="false" outlineLevel="0" collapsed="false">
      <c r="B5" s="6" t="s">
        <v>30</v>
      </c>
      <c r="C5" s="6" t="s">
        <v>123</v>
      </c>
      <c r="D5" s="6" t="s">
        <v>124</v>
      </c>
      <c r="E5" s="6" t="s">
        <v>125</v>
      </c>
    </row>
    <row r="6" customFormat="false" ht="30" hidden="false" customHeight="true" outlineLevel="0" collapsed="false">
      <c r="B6" s="9" t="n">
        <v>1</v>
      </c>
      <c r="C6" s="8" t="s">
        <v>126</v>
      </c>
      <c r="D6" s="11"/>
      <c r="E6" s="9"/>
    </row>
    <row r="7" customFormat="false" ht="30" hidden="false" customHeight="true" outlineLevel="0" collapsed="false">
      <c r="B7" s="9" t="n">
        <v>2</v>
      </c>
      <c r="C7" s="8" t="s">
        <v>127</v>
      </c>
      <c r="D7" s="11"/>
      <c r="E7" s="9"/>
    </row>
    <row r="8" customFormat="false" ht="30" hidden="false" customHeight="true" outlineLevel="0" collapsed="false">
      <c r="B8" s="9" t="n">
        <v>3</v>
      </c>
      <c r="C8" s="8" t="s">
        <v>128</v>
      </c>
      <c r="D8" s="11"/>
      <c r="E8" s="9"/>
    </row>
    <row r="9" customFormat="false" ht="30" hidden="false" customHeight="true" outlineLevel="0" collapsed="false">
      <c r="B9" s="9" t="n">
        <v>4</v>
      </c>
      <c r="C9" s="8" t="s">
        <v>129</v>
      </c>
      <c r="D9" s="11"/>
      <c r="E9" s="9"/>
    </row>
    <row r="10" customFormat="false" ht="30" hidden="false" customHeight="true" outlineLevel="0" collapsed="false">
      <c r="B10" s="9" t="n">
        <v>5</v>
      </c>
      <c r="C10" s="8" t="s">
        <v>130</v>
      </c>
      <c r="D10" s="11"/>
      <c r="E10" s="9"/>
    </row>
    <row r="11" customFormat="false" ht="30" hidden="false" customHeight="true" outlineLevel="0" collapsed="false">
      <c r="B11" s="9" t="n">
        <v>6</v>
      </c>
      <c r="C11" s="8" t="s">
        <v>131</v>
      </c>
      <c r="D11" s="11"/>
      <c r="E11" s="9"/>
    </row>
    <row r="12" customFormat="false" ht="30" hidden="false" customHeight="true" outlineLevel="0" collapsed="false">
      <c r="B12" s="9" t="n">
        <v>7</v>
      </c>
      <c r="C12" s="8" t="s">
        <v>132</v>
      </c>
      <c r="D12" s="11"/>
      <c r="E12" s="9"/>
    </row>
    <row r="13" customFormat="false" ht="30" hidden="false" customHeight="true" outlineLevel="0" collapsed="false">
      <c r="B13" s="9" t="n">
        <v>8</v>
      </c>
      <c r="C13" s="8" t="s">
        <v>133</v>
      </c>
      <c r="D13" s="11"/>
      <c r="E13" s="9"/>
    </row>
    <row r="14" customFormat="false" ht="15" hidden="false" customHeight="false" outlineLevel="0" collapsed="false">
      <c r="B14" s="15" t="s">
        <v>134</v>
      </c>
    </row>
    <row r="16" customFormat="false" ht="15" hidden="false" customHeight="false" outlineLevel="0" collapsed="false">
      <c r="B16" s="3" t="s">
        <v>135</v>
      </c>
      <c r="C16" s="4"/>
      <c r="D16" s="4"/>
      <c r="E16" s="4"/>
      <c r="F16" s="4"/>
      <c r="G16" s="4"/>
    </row>
    <row r="17" customFormat="false" ht="15" hidden="false" customHeight="false" outlineLevel="0" collapsed="false">
      <c r="B17" s="6" t="s">
        <v>31</v>
      </c>
      <c r="C17" s="6" t="s">
        <v>38</v>
      </c>
      <c r="D17" s="6" t="s">
        <v>136</v>
      </c>
    </row>
    <row r="18" customFormat="false" ht="15" hidden="false" customHeight="false" outlineLevel="0" collapsed="false">
      <c r="B18" s="9" t="s">
        <v>40</v>
      </c>
      <c r="C18" s="13" t="n">
        <f aca="false">2_KPI_Changes!C8</f>
        <v>579000</v>
      </c>
      <c r="D18" s="13" t="n">
        <v>640000</v>
      </c>
    </row>
    <row r="19" customFormat="false" ht="15" hidden="false" customHeight="false" outlineLevel="0" collapsed="false">
      <c r="B19" s="9" t="s">
        <v>60</v>
      </c>
      <c r="C19" s="13" t="n">
        <f aca="false">2_KPI_Changes!D8</f>
        <v>647000</v>
      </c>
      <c r="D19" s="13" t="n">
        <v>660000</v>
      </c>
    </row>
    <row r="20" customFormat="false" ht="15" hidden="false" customHeight="false" outlineLevel="0" collapsed="false">
      <c r="B20" s="9" t="s">
        <v>63</v>
      </c>
      <c r="C20" s="13" t="n">
        <f aca="false">2_KPI_Changes!E8</f>
        <v>720000</v>
      </c>
      <c r="D20" s="13" t="n">
        <v>700000</v>
      </c>
    </row>
    <row r="22" customFormat="false" ht="15" hidden="false" customHeight="false" outlineLevel="0" collapsed="false">
      <c r="B22" s="6" t="s">
        <v>103</v>
      </c>
      <c r="C22" s="6" t="s">
        <v>137</v>
      </c>
    </row>
    <row r="23" customFormat="false" ht="15" hidden="false" customHeight="false" outlineLevel="0" collapsed="false">
      <c r="B23" s="9" t="s">
        <v>42</v>
      </c>
      <c r="C23" s="13" t="n">
        <f aca="false">3_Channel_Summary!E17</f>
        <v>144000</v>
      </c>
    </row>
    <row r="24" customFormat="false" ht="15" hidden="false" customHeight="false" outlineLevel="0" collapsed="false">
      <c r="B24" s="9" t="s">
        <v>45</v>
      </c>
      <c r="C24" s="13" t="n">
        <f aca="false">3_Channel_Summary!E18</f>
        <v>0</v>
      </c>
    </row>
    <row r="25" customFormat="false" ht="15" hidden="false" customHeight="false" outlineLevel="0" collapsed="false">
      <c r="B25" s="9" t="s">
        <v>49</v>
      </c>
      <c r="C25" s="13" t="n">
        <f aca="false">3_Channel_Summary!E19</f>
        <v>0</v>
      </c>
    </row>
    <row r="26" customFormat="false" ht="15" hidden="false" customHeight="false" outlineLevel="0" collapsed="false">
      <c r="B26" s="9" t="s">
        <v>59</v>
      </c>
      <c r="C26" s="13" t="n">
        <f aca="false">3_Channel_Summary!E22</f>
        <v>0</v>
      </c>
    </row>
    <row r="27" customFormat="false" ht="15" hidden="false" customHeight="false" outlineLevel="0" collapsed="false">
      <c r="B27" s="9" t="s">
        <v>53</v>
      </c>
      <c r="C27" s="13" t="n">
        <f aca="false">3_Channel_Summary!E20</f>
        <v>0</v>
      </c>
    </row>
    <row r="28" customFormat="false" ht="15" hidden="false" customHeight="false" outlineLevel="0" collapsed="false">
      <c r="B28" s="9" t="s">
        <v>56</v>
      </c>
      <c r="C28" s="13" t="n">
        <f aca="false">3_Channel_Summary!E21</f>
        <v>0</v>
      </c>
    </row>
    <row r="29" customFormat="false" ht="15" hidden="false" customHeight="false" outlineLevel="0" collapsed="false">
      <c r="B29" s="15" t="s">
        <v>138</v>
      </c>
    </row>
    <row r="31" customFormat="false" ht="15" hidden="false" customHeight="false" outlineLevel="0" collapsed="false">
      <c r="B31" s="3" t="s">
        <v>139</v>
      </c>
      <c r="C31" s="4"/>
      <c r="D31" s="4"/>
      <c r="E31" s="4"/>
      <c r="F31" s="4"/>
      <c r="G31" s="4"/>
    </row>
    <row r="32" customFormat="false" ht="30" hidden="false" customHeight="true" outlineLevel="0" collapsed="false">
      <c r="B32" s="7" t="s">
        <v>140</v>
      </c>
      <c r="C32" s="8" t="s">
        <v>141</v>
      </c>
    </row>
    <row r="33" customFormat="false" ht="49.5" hidden="false" customHeight="true" outlineLevel="0" collapsed="false">
      <c r="B33" s="8" t="s">
        <v>142</v>
      </c>
      <c r="C33" s="8"/>
      <c r="D33" s="17"/>
      <c r="E33" s="17"/>
      <c r="F33" s="17"/>
      <c r="G33" s="17"/>
    </row>
    <row r="35" customFormat="false" ht="42" hidden="false" customHeight="true" outlineLevel="0" collapsed="false">
      <c r="B35" s="7" t="s">
        <v>143</v>
      </c>
      <c r="C35" s="8" t="s">
        <v>144</v>
      </c>
    </row>
    <row r="36" customFormat="false" ht="49.5" hidden="false" customHeight="true" outlineLevel="0" collapsed="false">
      <c r="B36" s="8" t="s">
        <v>145</v>
      </c>
      <c r="C36" s="8"/>
      <c r="D36" s="17"/>
      <c r="E36" s="17"/>
      <c r="F36" s="17"/>
      <c r="G36" s="17"/>
    </row>
  </sheetData>
  <mergeCells count="4">
    <mergeCell ref="B33:C33"/>
    <mergeCell ref="D33:G33"/>
    <mergeCell ref="B36:C36"/>
    <mergeCell ref="D36:G36"/>
  </mergeCells>
  <dataValidations count="1">
    <dataValidation allowBlank="true" errorStyle="stop" operator="between" showDropDown="false" showErrorMessage="false" showInputMessage="false" sqref="D6:D13" type="list">
      <formula1>"Scorecard with comparison,Line chart,Horizontal bar chart (sorted),Column chart + target line,100% stacked bar chart,Funnel (bars),Scatter plot,Table with heat map,Pie chart with 9 slices,3D column chart"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40"/>
  </cols>
  <sheetData>
    <row r="1" customFormat="false" ht="17.35" hidden="false" customHeight="false" outlineLevel="0" collapsed="false">
      <c r="B1" s="1" t="s">
        <v>146</v>
      </c>
    </row>
    <row r="2" customFormat="false" ht="15" hidden="false" customHeight="false" outlineLevel="0" collapsed="false">
      <c r="B2" s="2" t="s">
        <v>147</v>
      </c>
    </row>
    <row r="4" customFormat="false" ht="30" hidden="false" customHeight="true" outlineLevel="0" collapsed="false">
      <c r="B4" s="6" t="s">
        <v>30</v>
      </c>
      <c r="C4" s="6" t="s">
        <v>148</v>
      </c>
      <c r="D4" s="6" t="s">
        <v>149</v>
      </c>
      <c r="E4" s="6" t="s">
        <v>150</v>
      </c>
      <c r="F4" s="6" t="s">
        <v>151</v>
      </c>
    </row>
    <row r="5" customFormat="false" ht="109.5" hidden="false" customHeight="true" outlineLevel="0" collapsed="false">
      <c r="B5" s="7" t="n">
        <v>1</v>
      </c>
      <c r="C5" s="17"/>
      <c r="D5" s="17"/>
      <c r="E5" s="17"/>
      <c r="F5" s="17"/>
    </row>
    <row r="6" customFormat="false" ht="109.5" hidden="false" customHeight="true" outlineLevel="0" collapsed="false">
      <c r="B6" s="7" t="n">
        <v>2</v>
      </c>
      <c r="C6" s="17"/>
      <c r="D6" s="17"/>
      <c r="E6" s="17"/>
      <c r="F6" s="17"/>
    </row>
    <row r="7" customFormat="false" ht="109.5" hidden="false" customHeight="true" outlineLevel="0" collapsed="false">
      <c r="B7" s="7" t="n">
        <v>3</v>
      </c>
      <c r="C7" s="17"/>
      <c r="D7" s="17"/>
      <c r="E7" s="17"/>
      <c r="F7" s="17"/>
    </row>
    <row r="8" customFormat="false" ht="15" hidden="false" customHeight="false" outlineLevel="0" collapsed="false">
      <c r="B8" s="15" t="s">
        <v>152</v>
      </c>
    </row>
    <row r="10" customFormat="false" ht="15" hidden="false" customHeight="false" outlineLevel="0" collapsed="false">
      <c r="B10" s="3" t="s">
        <v>153</v>
      </c>
      <c r="C10" s="4"/>
      <c r="D10" s="4"/>
      <c r="E10" s="4"/>
      <c r="F10" s="4"/>
      <c r="G10" s="4"/>
    </row>
    <row r="11" customFormat="false" ht="36" hidden="false" customHeight="true" outlineLevel="0" collapsed="false">
      <c r="B11" s="7" t="s">
        <v>154</v>
      </c>
      <c r="C11" s="17"/>
      <c r="D11" s="17"/>
      <c r="E11" s="17"/>
      <c r="F11" s="17"/>
    </row>
    <row r="12" customFormat="false" ht="36" hidden="false" customHeight="true" outlineLevel="0" collapsed="false">
      <c r="B12" s="7" t="s">
        <v>155</v>
      </c>
      <c r="C12" s="17"/>
      <c r="D12" s="17"/>
      <c r="E12" s="17"/>
      <c r="F12" s="17"/>
    </row>
    <row r="13" customFormat="false" ht="36" hidden="false" customHeight="true" outlineLevel="0" collapsed="false">
      <c r="B13" s="7" t="s">
        <v>156</v>
      </c>
      <c r="C13" s="17"/>
      <c r="D13" s="17"/>
      <c r="E13" s="17"/>
      <c r="F13" s="17"/>
    </row>
    <row r="14" customFormat="false" ht="36" hidden="false" customHeight="true" outlineLevel="0" collapsed="false">
      <c r="B14" s="7" t="s">
        <v>157</v>
      </c>
      <c r="C14" s="17"/>
      <c r="D14" s="17"/>
      <c r="E14" s="17"/>
      <c r="F14" s="17"/>
    </row>
    <row r="15" customFormat="false" ht="36" hidden="false" customHeight="true" outlineLevel="0" collapsed="false">
      <c r="B15" s="7" t="s">
        <v>158</v>
      </c>
      <c r="C15" s="17"/>
      <c r="D15" s="17"/>
      <c r="E15" s="17"/>
      <c r="F15" s="17"/>
    </row>
  </sheetData>
  <mergeCells count="5">
    <mergeCell ref="C11:F11"/>
    <mergeCell ref="C12:F12"/>
    <mergeCell ref="C13:F13"/>
    <mergeCell ref="C14:F14"/>
    <mergeCell ref="C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2026-10-11T04:36:06Z</dcterms:created>
  <dc:creator>openpyxl</dc:creator>
  <dc:description/>
  <dc:language>en-US</dc:language>
  <cp:lastModifiedBy/>
  <dcterms:modified xsi:type="dcterms:W3CDTF">2026-10-11T04:36:06Z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