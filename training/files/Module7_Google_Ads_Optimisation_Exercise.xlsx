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_Performance" sheetId="2" state="visible" r:id="rId4"/>
    <sheet name="2_Quality_Score" sheetId="3" state="visible" r:id="rId5"/>
    <sheet name="3_Search_Terms" sheetId="4" state="visible" r:id="rId6"/>
    <sheet name="4_Budget" sheetId="5" state="visible" r:id="rId7"/>
    <sheet name="5_Audit_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<sst xmlns="http://schemas.openxmlformats.org/spreadsheetml/2006/main" count="279" uniqueCount="196">
  <si>
    <t xml:space="preserve">Week 7 Excel exercise: Google Ads optimisation and Performance Audit</t>
  </si>
  <si>
    <t xml:space="preserve">IslandWheels Car Rental, Plaine Magnien, Mauritius (fictional data, September 2026). Digital Marketing &amp; AI, Oreegami Mauritius</t>
  </si>
  <si>
    <t xml:space="preserve">The business</t>
  </si>
  <si>
    <t xml:space="preserve">IslandWheels rents economy cars, SUVs and 4x4s in Mauritius, with free pick-up at SSR International Airport, for short stays and long-term rentals (residents).</t>
  </si>
  <si>
    <t xml:space="preserve">It does NOT sell cars, rent scooters, bikes, vans or trucks, offer drivers/taxis or driving lessons, and it only operates in Mauritius (not Rodrigues or Réunion).</t>
  </si>
  <si>
    <t xml:space="preserve">Gross margin on rentals: 35% (after car costs, insurance and staff). Conversions = completed online bookings, with their revenue as conversion value.</t>
  </si>
  <si>
    <t xml:space="preserve">How to complete it</t>
  </si>
  <si>
    <t xml:space="preserve">1. Work through the 5 tabs in order. Each tab starts with a short brief. The guide sections to read are given on each tab.</t>
  </si>
  <si>
    <t xml:space="preserve">2. Type your answers in the YELLOW cells only. Do not change the data cells.</t>
  </si>
  <si>
    <t xml:space="preserve">3. Use Excel formulas wherever you calculate something (e.g. =F6/E6). Your trainer checks the formulas, not just the numbers.</t>
  </si>
  <si>
    <t xml:space="preserve">4. Each calculation table has a worked example in its first row: copy its formulas down.</t>
  </si>
  <si>
    <t xml:space="preserve">5. Save the file as Week7_YourName.xlsx and upload it on the platform. You will receive feedback by email.</t>
  </si>
  <si>
    <t xml:space="preserve">Scoring (out of 20)</t>
  </si>
  <si>
    <t xml:space="preserve">Tab</t>
  </si>
  <si>
    <t xml:space="preserve">What you practise</t>
  </si>
  <si>
    <t xml:space="preserve">Points</t>
  </si>
  <si>
    <t xml:space="preserve">1_Performance</t>
  </si>
  <si>
    <t xml:space="preserve">CTR, CPC, CVR, CPA, ROAS, profit and ROI by ad group; INDEX/MATCH to find the best and worst</t>
  </si>
  <si>
    <t xml:space="preserve">2_Quality_Score</t>
  </si>
  <si>
    <t xml:space="preserve">Quality Score diagnosis: weighted QS, below-average components and the priority fix</t>
  </si>
  <si>
    <t xml:space="preserve">3_Search_Terms</t>
  </si>
  <si>
    <t xml:space="preserve">Classify 40 search terms, calculate wasted spend with SUMIFS, plan negative keyword lists</t>
  </si>
  <si>
    <t xml:space="preserve">4_Budget</t>
  </si>
  <si>
    <t xml:space="preserve">Move budget to ad groups under the target CPA and forecast conversions</t>
  </si>
  <si>
    <t xml:space="preserve">5_Audit_Summary</t>
  </si>
  <si>
    <t xml:space="preserve">Write the 3 priority recommendations of your Performance Audit</t>
  </si>
  <si>
    <t xml:space="preserve">Total</t>
  </si>
  <si>
    <t xml:space="preserve">Legend:</t>
  </si>
  <si>
    <t xml:space="preserve">Yellow cell = your answer</t>
  </si>
  <si>
    <t xml:space="preserve">Blue header = data</t>
  </si>
  <si>
    <t xml:space="preserve">Formulas you need (guide Section 2)</t>
  </si>
  <si>
    <t xml:space="preserve">CTR</t>
  </si>
  <si>
    <t xml:space="preserve">Clicks ÷ impressions</t>
  </si>
  <si>
    <t xml:space="preserve">CPC</t>
  </si>
  <si>
    <t xml:space="preserve">Cost ÷ clicks</t>
  </si>
  <si>
    <t xml:space="preserve">CVR</t>
  </si>
  <si>
    <t xml:space="preserve">Conversions ÷ clicks</t>
  </si>
  <si>
    <t xml:space="preserve">CPA</t>
  </si>
  <si>
    <t xml:space="preserve">Cost ÷ conversions</t>
  </si>
  <si>
    <t xml:space="preserve">ROAS</t>
  </si>
  <si>
    <t xml:space="preserve">Revenue ÷ cost</t>
  </si>
  <si>
    <t xml:space="preserve">Gross profit</t>
  </si>
  <si>
    <t xml:space="preserve">Revenue × gross margin</t>
  </si>
  <si>
    <t xml:space="preserve">Profit after ads</t>
  </si>
  <si>
    <t xml:space="preserve">Gross profit − cost</t>
  </si>
  <si>
    <t xml:space="preserve">ROI</t>
  </si>
  <si>
    <t xml:space="preserve">Profit after ads ÷ cost</t>
  </si>
  <si>
    <t xml:space="preserve">Break-even ROAS</t>
  </si>
  <si>
    <t xml:space="preserve">1 ÷ gross margin</t>
  </si>
  <si>
    <t xml:space="preserve">Weighted Quality Score</t>
  </si>
  <si>
    <t xml:space="preserve">SUMPRODUCT(QS, impressions) ÷ SUM(impressions)</t>
  </si>
  <si>
    <t xml:space="preserve">Wasted spend %</t>
  </si>
  <si>
    <t xml:space="preserve">Cost of irrelevant search terms ÷ total cost</t>
  </si>
  <si>
    <t xml:space="preserve">Tab 1: Performance by ad group (September 2026)</t>
  </si>
  <si>
    <t xml:space="preserve">Export from Google Ads &gt; Campaigns &gt; Ad groups. Read guide Sections 2 and 6.</t>
  </si>
  <si>
    <t xml:space="preserve">Gross margin</t>
  </si>
  <si>
    <t xml:space="preserve">Campaign</t>
  </si>
  <si>
    <t xml:space="preserve">Ad group</t>
  </si>
  <si>
    <t xml:space="preserve">Impressions</t>
  </si>
  <si>
    <t xml:space="preserve">Clicks</t>
  </si>
  <si>
    <t xml:space="preserve">Cost (Rs)</t>
  </si>
  <si>
    <t xml:space="preserve">Conversions</t>
  </si>
  <si>
    <t xml:space="preserve">Revenue (Rs)</t>
  </si>
  <si>
    <t xml:space="preserve">Avg. CPC</t>
  </si>
  <si>
    <t xml:space="preserve">Conv. rate</t>
  </si>
  <si>
    <t xml:space="preserve">Status</t>
  </si>
  <si>
    <t xml:space="preserve">Brand</t>
  </si>
  <si>
    <t xml:space="preserve">Brand terms</t>
  </si>
  <si>
    <t xml:space="preserve">Generic EN</t>
  </si>
  <si>
    <t xml:space="preserve">Airport car rental</t>
  </si>
  <si>
    <t xml:space="preserve">Cheap car rental</t>
  </si>
  <si>
    <t xml:space="preserve">4x4 and SUV rental</t>
  </si>
  <si>
    <t xml:space="preserve">Long-term rental</t>
  </si>
  <si>
    <t xml:space="preserve">Car hire Mauritius (broad)</t>
  </si>
  <si>
    <t xml:space="preserve">Generic FR</t>
  </si>
  <si>
    <t xml:space="preserve">Location voiture aéroport</t>
  </si>
  <si>
    <t xml:space="preserve">Location 4x4</t>
  </si>
  <si>
    <t xml:space="preserve">Row 6 (Brand terms) is done for you as an example. Copy the formulas down to every ad group and the Total row. Status: "Profitable" if ROAS ≥ break-even ROAS, otherwise "Losing money".</t>
  </si>
  <si>
    <t xml:space="preserve">Questions (use INDEX/MATCH, MAX, MIN, COUNTIF on your table)</t>
  </si>
  <si>
    <t xml:space="preserve">Q1. Which ad group has the highest ROAS?</t>
  </si>
  <si>
    <t xml:space="preserve">Q2. Which ad group has the highest (worst) CPA?</t>
  </si>
  <si>
    <t xml:space="preserve">Q3. Which ad group has the lowest profit after ads?</t>
  </si>
  <si>
    <t xml:space="preserve">Q4. How many ad groups are losing money?</t>
  </si>
  <si>
    <t xml:space="preserve">Q5. ROAS of the generic ad groups only (all rows except Brand terms)</t>
  </si>
  <si>
    <t xml:space="preserve">Q6. The Brand ad group has a ROAS above 30. Why should you NOT judge the whole account on the total ROAS? Which ad group would you fix first, and how? (3–4 sentences)</t>
  </si>
  <si>
    <t xml:space="preserve">Tab 2: Quality Score diagnosis</t>
  </si>
  <si>
    <t xml:space="preserve">Export from Search keywords with the Quality Score columns (last 30 days). Read guide Sections 4, 10, 11 and 12.</t>
  </si>
  <si>
    <t xml:space="preserve">Priority rule for column L: fix the landing page first if it is Below average; otherwise ad relevance if Below average; otherwise expected CTR if Below average; otherwise "No urgent fix".</t>
  </si>
  <si>
    <t xml:space="preserve">Keyword</t>
  </si>
  <si>
    <t xml:space="preserve">Quality Score</t>
  </si>
  <si>
    <t xml:space="preserve">Exp. CTR</t>
  </si>
  <si>
    <t xml:space="preserve">Ad relevance</t>
  </si>
  <si>
    <t xml:space="preserve">Landing page exp.</t>
  </si>
  <si>
    <t xml:space="preserve">Nb of Below average</t>
  </si>
  <si>
    <t xml:space="preserve">QS × impressions</t>
  </si>
  <si>
    <t xml:space="preserve">Priority fix</t>
  </si>
  <si>
    <t xml:space="preserve">airport car rental mauritius</t>
  </si>
  <si>
    <t xml:space="preserve">Average</t>
  </si>
  <si>
    <t xml:space="preserve">Above average</t>
  </si>
  <si>
    <t xml:space="preserve">Below average</t>
  </si>
  <si>
    <t xml:space="preserve">car rental mauritius airport</t>
  </si>
  <si>
    <t xml:space="preserve">car hire airport mauritius</t>
  </si>
  <si>
    <t xml:space="preserve">cheap car rental mauritius</t>
  </si>
  <si>
    <t xml:space="preserve">budget car hire mauritius</t>
  </si>
  <si>
    <t xml:space="preserve">4x4 rental mauritius</t>
  </si>
  <si>
    <t xml:space="preserve">suv hire mauritius</t>
  </si>
  <si>
    <t xml:space="preserve">long term car rental mauritius</t>
  </si>
  <si>
    <t xml:space="preserve">car hire mauritius</t>
  </si>
  <si>
    <t xml:space="preserve">rent a car mauritius</t>
  </si>
  <si>
    <t xml:space="preserve">location voiture aéroport maurice</t>
  </si>
  <si>
    <t xml:space="preserve">location 4x4 maurice</t>
  </si>
  <si>
    <t xml:space="preserve">Row 6 is done for you as an example (column L uses a nested IF). Copy the formulas down.</t>
  </si>
  <si>
    <t xml:space="preserve">Questions</t>
  </si>
  <si>
    <t xml:space="preserve">Q1. Simple average Quality Score</t>
  </si>
  <si>
    <t xml:space="preserve">Q2. Weighted Quality Score (weighted by impressions)</t>
  </si>
  <si>
    <t xml:space="preserve">Q3. How many keywords have a Below average landing page experience?</t>
  </si>
  <si>
    <t xml:space="preserve">Q4. Total cost of keywords with Quality Score 4 or less (Rs)</t>
  </si>
  <si>
    <t xml:space="preserve">Q5. Share of total keyword cost spent on keywords whose priority fix is "Landing page"</t>
  </si>
  <si>
    <t xml:space="preserve">Q6. Which single action would improve Quality Score for the most spend? Describe it concretely (2–3 sentences).</t>
  </si>
  <si>
    <t xml:space="preserve">Tab 3: Search terms review (September 2026)</t>
  </si>
  <si>
    <t xml:space="preserve">Campaigns &gt; Insights and reports &gt; Search terms. Read guide Section 13 and the business description on the Instructions tab.</t>
  </si>
  <si>
    <t xml:space="preserve">Column G: choose "Keep" (relevant to IslandWheels) or "Negative" (irrelevant: wrong product, wrong place, jobs, information only). Column H: cost per conversion, or "–" if no conversion (use IFERROR).</t>
  </si>
  <si>
    <t xml:space="preserve">#</t>
  </si>
  <si>
    <t xml:space="preserve">Search term</t>
  </si>
  <si>
    <t xml:space="preserve">Decision</t>
  </si>
  <si>
    <t xml:space="preserve">Cost / conv.</t>
  </si>
  <si>
    <t xml:space="preserve">Keep</t>
  </si>
  <si>
    <t xml:space="preserve">car for sale mauritius</t>
  </si>
  <si>
    <t xml:space="preserve">car rental jobs mauritius</t>
  </si>
  <si>
    <t xml:space="preserve">driving school quatre bornes</t>
  </si>
  <si>
    <t xml:space="preserve">used cars mauritius</t>
  </si>
  <si>
    <t xml:space="preserve">scooter rental grand baie</t>
  </si>
  <si>
    <t xml:space="preserve">bus timetable airport port louis</t>
  </si>
  <si>
    <t xml:space="preserve">location voiture maurice aeroport</t>
  </si>
  <si>
    <t xml:space="preserve">car rental reunion</t>
  </si>
  <si>
    <t xml:space="preserve">van hire mauritius</t>
  </si>
  <si>
    <t xml:space="preserve">taxi airport to flic en flac</t>
  </si>
  <si>
    <t xml:space="preserve">car rental mauritius reviews</t>
  </si>
  <si>
    <t xml:space="preserve">free car rental mauritius</t>
  </si>
  <si>
    <t xml:space="preserve">car rental rodrigues</t>
  </si>
  <si>
    <t xml:space="preserve">suv rental mauritius</t>
  </si>
  <si>
    <t xml:space="preserve">bike rental mauritius</t>
  </si>
  <si>
    <t xml:space="preserve">how to drive in mauritius</t>
  </si>
  <si>
    <t xml:space="preserve">car rental plaine magnien</t>
  </si>
  <si>
    <t xml:space="preserve">car rental mauritius with driver</t>
  </si>
  <si>
    <t xml:space="preserve">car lease mauritius company</t>
  </si>
  <si>
    <t xml:space="preserve">voiture occasion maurice</t>
  </si>
  <si>
    <t xml:space="preserve">car rental mauritius price per day</t>
  </si>
  <si>
    <t xml:space="preserve">permis de conduire maurice</t>
  </si>
  <si>
    <t xml:space="preserve">car rental madagascar</t>
  </si>
  <si>
    <t xml:space="preserve">automatic car rental mauritius</t>
  </si>
  <si>
    <t xml:space="preserve">truck hire mauritius</t>
  </si>
  <si>
    <t xml:space="preserve">airport car hire sir seewoosagur ramgoolam</t>
  </si>
  <si>
    <t xml:space="preserve">car rental mauritius salary</t>
  </si>
  <si>
    <t xml:space="preserve">island wheels car rental</t>
  </si>
  <si>
    <t xml:space="preserve">wedding car hire mauritius</t>
  </si>
  <si>
    <t xml:space="preserve">car hire mauritius 7 seater</t>
  </si>
  <si>
    <t xml:space="preserve">car insurance mauritius</t>
  </si>
  <si>
    <t xml:space="preserve">car rental grand baie</t>
  </si>
  <si>
    <t xml:space="preserve">learn to drive mauritius</t>
  </si>
  <si>
    <t xml:space="preserve">Row 6 is done for you as an example. Classify all 40 terms with the drop-down, then copy the column H formula down.</t>
  </si>
  <si>
    <t xml:space="preserve">Questions (use SUM, SUMIFS, COUNTIF)</t>
  </si>
  <si>
    <t xml:space="preserve">Q1. Total cost of all 40 search terms (Rs)</t>
  </si>
  <si>
    <t xml:space="preserve">Q2. Wasted spend: total cost of terms classified "Negative" (Rs)</t>
  </si>
  <si>
    <t xml:space="preserve">Q3. Wasted spend as a % of total cost</t>
  </si>
  <si>
    <t xml:space="preserve">Q4. How many search terms are negatives?</t>
  </si>
  <si>
    <t xml:space="preserve">Q5. Cost of RELEVANT ("Keep") terms with zero conversions (Rs): these need more data or better pages, not negatives</t>
  </si>
  <si>
    <t xml:space="preserve">Q6. Name 3 negative keyword lists you would create, with 3 example negatives each, and the match type you would use.</t>
  </si>
  <si>
    <t xml:space="preserve">Tab 4: Budget reallocation for October</t>
  </si>
  <si>
    <t xml:space="preserve">Generic ad groups only (Brand is left unchanged). Read guide Sections 6, 19 and 20.</t>
  </si>
  <si>
    <t xml:space="preserve">Target CPA</t>
  </si>
  <si>
    <t xml:space="preserve">Cut for ad groups above target</t>
  </si>
  <si>
    <t xml:space="preserve">Rule: ad groups with CPA above the target lose 30% of their budget. The money freed is shared between ad groups within target, in proportion to their current budget. Forecast conversions = new budget ÷ current CPA.</t>
  </si>
  <si>
    <t xml:space="preserve">Current budget = Sept cost (Rs)</t>
  </si>
  <si>
    <t xml:space="preserve">Conversions (Sept)</t>
  </si>
  <si>
    <t xml:space="preserve">Above or within target?</t>
  </si>
  <si>
    <t xml:space="preserve">Budget cut</t>
  </si>
  <si>
    <t xml:space="preserve">Extra budget</t>
  </si>
  <si>
    <t xml:space="preserve">New budget</t>
  </si>
  <si>
    <t xml:space="preserve">Forecast conversions</t>
  </si>
  <si>
    <t xml:space="preserve">Row 7 is done for you as an example; its "Extra budget" uses the Total of column G (row 14), so it shows a value once you fill row 14. Fill the Total row too.</t>
  </si>
  <si>
    <t xml:space="preserve">Q1. Total budget moved (freed from ad groups above target), Rs</t>
  </si>
  <si>
    <t xml:space="preserve">Q2. Total forecast conversions after reallocation</t>
  </si>
  <si>
    <t xml:space="preserve">Q3. Extra conversions compared with September (same total budget)</t>
  </si>
  <si>
    <t xml:space="preserve">Q4. New blended CPA of the generic ad groups (Rs)</t>
  </si>
  <si>
    <t xml:space="preserve">Q5. Give two reasons why this forecast is probably optimistic, and what you would check in Google Ads before moving the money.</t>
  </si>
  <si>
    <t xml:space="preserve">Tab 5: Performance Audit summary</t>
  </si>
  <si>
    <t xml:space="preserve">Use your results from Tabs 1–4. Read guide Sections 26 and 29.</t>
  </si>
  <si>
    <t xml:space="preserve">Summary in 3 sentences: overall CPA and ROAS vs break-even, the biggest problem, the biggest opportunity</t>
  </si>
  <si>
    <t xml:space="preserve">Finding (with the number that proves it)</t>
  </si>
  <si>
    <t xml:space="preserve">Action</t>
  </si>
  <si>
    <t xml:space="preserve">Expected impact</t>
  </si>
  <si>
    <t xml:space="preserve">KPI to track</t>
  </si>
  <si>
    <t xml:space="preserve">Priority</t>
  </si>
  <si>
    <t xml:space="preserve">Guide section</t>
  </si>
  <si>
    <t xml:space="preserve">Each recommendation must quote a number from Tabs 1–4 as evidence. Marking: 1 point per complete, evidence-based recommendation (the summary sentence counts as part of the third point).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</si>
</sst>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0.00"/>
    <numFmt numFmtId="167" formatCode="#,##0"/>
    <numFmt numFmtId="168" formatCode="&quot;Rs &quot;#,##0"/>
    <numFmt numFmtId="169" formatCode="0.0%"/>
    <numFmt numFmtId="170" formatCode="&quot;Rs &quot;#,##0.00"/>
    <numFmt numFmtId="171" formatCode="0.00%"/>
    <numFmt numFmtId="172" formatCode="0"/>
    <numFmt numFmtId="173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8F5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5"/>
    <col collapsed="false" customWidth="true" hidden="false" outlineLevel="0" max="4" min="4" style="0" width="1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5" t="s">
        <v>5</v>
      </c>
    </row>
    <row r="9" customFormat="false" ht="15" hidden="false" customHeight="false" outlineLevel="0" collapsed="false">
      <c r="B9" s="3" t="s">
        <v>6</v>
      </c>
      <c r="C9" s="4"/>
      <c r="D9" s="4"/>
      <c r="E9" s="4"/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5" t="s">
        <v>9</v>
      </c>
    </row>
    <row r="13" customFormat="false" ht="15" hidden="false" customHeight="false" outlineLevel="0" collapsed="false">
      <c r="B13" s="5" t="s">
        <v>10</v>
      </c>
    </row>
    <row r="14" customFormat="false" ht="15" hidden="false" customHeight="false" outlineLevel="0" collapsed="false">
      <c r="B14" s="5" t="s">
        <v>11</v>
      </c>
    </row>
    <row r="16" customFormat="false" ht="15" hidden="false" customHeight="false" outlineLevel="0" collapsed="false">
      <c r="B16" s="3" t="s">
        <v>12</v>
      </c>
      <c r="C16" s="4"/>
      <c r="D16" s="4"/>
      <c r="E16" s="4"/>
    </row>
    <row r="17" customFormat="false" ht="15" hidden="false" customHeight="false" outlineLevel="0" collapsed="false">
      <c r="B17" s="6" t="s">
        <v>13</v>
      </c>
      <c r="C17" s="6" t="s">
        <v>14</v>
      </c>
      <c r="D17" s="6" t="s">
        <v>15</v>
      </c>
    </row>
    <row r="18" customFormat="false" ht="15" hidden="false" customHeight="false" outlineLevel="0" collapsed="false">
      <c r="B18" s="7" t="s">
        <v>16</v>
      </c>
      <c r="C18" s="8" t="s">
        <v>17</v>
      </c>
      <c r="D18" s="9" t="n">
        <v>5</v>
      </c>
    </row>
    <row r="19" customFormat="false" ht="15" hidden="false" customHeight="false" outlineLevel="0" collapsed="false">
      <c r="B19" s="7" t="s">
        <v>18</v>
      </c>
      <c r="C19" s="8" t="s">
        <v>19</v>
      </c>
      <c r="D19" s="9" t="n">
        <v>4</v>
      </c>
    </row>
    <row r="20" customFormat="false" ht="15" hidden="false" customHeight="false" outlineLevel="0" collapsed="false">
      <c r="B20" s="7" t="s">
        <v>20</v>
      </c>
      <c r="C20" s="8" t="s">
        <v>21</v>
      </c>
      <c r="D20" s="9" t="n">
        <v>4</v>
      </c>
    </row>
    <row r="21" customFormat="false" ht="15" hidden="false" customHeight="false" outlineLevel="0" collapsed="false">
      <c r="B21" s="7" t="s">
        <v>22</v>
      </c>
      <c r="C21" s="8" t="s">
        <v>23</v>
      </c>
      <c r="D21" s="9" t="n">
        <v>4</v>
      </c>
    </row>
    <row r="22" customFormat="false" ht="15" hidden="false" customHeight="false" outlineLevel="0" collapsed="false">
      <c r="B22" s="7" t="s">
        <v>24</v>
      </c>
      <c r="C22" s="8" t="s">
        <v>25</v>
      </c>
      <c r="D22" s="9" t="n">
        <v>3</v>
      </c>
    </row>
    <row r="23" customFormat="false" ht="15" hidden="false" customHeight="false" outlineLevel="0" collapsed="false">
      <c r="B23" s="7" t="s">
        <v>26</v>
      </c>
      <c r="D23" s="7" t="n">
        <f aca="false">SUM(D18:D22)</f>
        <v>20</v>
      </c>
    </row>
    <row r="25" customFormat="false" ht="15" hidden="false" customHeight="false" outlineLevel="0" collapsed="false">
      <c r="B25" s="10" t="s">
        <v>27</v>
      </c>
      <c r="C25" s="11" t="s">
        <v>28</v>
      </c>
      <c r="D25" s="12" t="s">
        <v>29</v>
      </c>
    </row>
    <row r="27" customFormat="false" ht="15" hidden="false" customHeight="false" outlineLevel="0" collapsed="false">
      <c r="B27" s="3" t="s">
        <v>30</v>
      </c>
      <c r="C27" s="4"/>
      <c r="D27" s="4"/>
      <c r="E27" s="4"/>
    </row>
    <row r="28" customFormat="false" ht="15" hidden="false" customHeight="false" outlineLevel="0" collapsed="false">
      <c r="B28" s="7" t="s">
        <v>31</v>
      </c>
      <c r="C28" s="9" t="s">
        <v>32</v>
      </c>
    </row>
    <row r="29" customFormat="false" ht="15" hidden="false" customHeight="false" outlineLevel="0" collapsed="false">
      <c r="B29" s="7" t="s">
        <v>33</v>
      </c>
      <c r="C29" s="9" t="s">
        <v>34</v>
      </c>
    </row>
    <row r="30" customFormat="false" ht="15" hidden="false" customHeight="false" outlineLevel="0" collapsed="false">
      <c r="B30" s="7" t="s">
        <v>35</v>
      </c>
      <c r="C30" s="9" t="s">
        <v>36</v>
      </c>
    </row>
    <row r="31" customFormat="false" ht="15" hidden="false" customHeight="false" outlineLevel="0" collapsed="false">
      <c r="B31" s="7" t="s">
        <v>37</v>
      </c>
      <c r="C31" s="9" t="s">
        <v>38</v>
      </c>
    </row>
    <row r="32" customFormat="false" ht="15" hidden="false" customHeight="false" outlineLevel="0" collapsed="false">
      <c r="B32" s="7" t="s">
        <v>39</v>
      </c>
      <c r="C32" s="9" t="s">
        <v>40</v>
      </c>
    </row>
    <row r="33" customFormat="false" ht="15" hidden="false" customHeight="false" outlineLevel="0" collapsed="false">
      <c r="B33" s="7" t="s">
        <v>41</v>
      </c>
      <c r="C33" s="9" t="s">
        <v>42</v>
      </c>
    </row>
    <row r="34" customFormat="false" ht="15" hidden="false" customHeight="false" outlineLevel="0" collapsed="false">
      <c r="B34" s="7" t="s">
        <v>43</v>
      </c>
      <c r="C34" s="9" t="s">
        <v>44</v>
      </c>
    </row>
    <row r="35" customFormat="false" ht="15" hidden="false" customHeight="false" outlineLevel="0" collapsed="false">
      <c r="B35" s="7" t="s">
        <v>45</v>
      </c>
      <c r="C35" s="9" t="s">
        <v>46</v>
      </c>
    </row>
    <row r="36" customFormat="false" ht="15" hidden="false" customHeight="false" outlineLevel="0" collapsed="false">
      <c r="B36" s="7" t="s">
        <v>47</v>
      </c>
      <c r="C36" s="9" t="s">
        <v>48</v>
      </c>
    </row>
    <row r="37" customFormat="false" ht="15" hidden="false" customHeight="false" outlineLevel="0" collapsed="false">
      <c r="B37" s="7" t="s">
        <v>49</v>
      </c>
      <c r="C37" s="9" t="s">
        <v>50</v>
      </c>
    </row>
    <row r="38" customFormat="false" ht="15" hidden="false" customHeight="false" outlineLevel="0" collapsed="false">
      <c r="B38" s="7" t="s">
        <v>51</v>
      </c>
      <c r="C38" s="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8"/>
    <col collapsed="false" customWidth="true" hidden="false" outlineLevel="0" max="17" min="17" style="0" width="13"/>
  </cols>
  <sheetData>
    <row r="1" customFormat="false" ht="17.35" hidden="false" customHeight="false" outlineLevel="0" collapsed="false">
      <c r="B1" s="1" t="s">
        <v>53</v>
      </c>
    </row>
    <row r="2" customFormat="false" ht="15" hidden="false" customHeight="false" outlineLevel="0" collapsed="false">
      <c r="B2" s="2" t="s">
        <v>54</v>
      </c>
    </row>
    <row r="3" customFormat="false" ht="15" hidden="false" customHeight="false" outlineLevel="0" collapsed="false">
      <c r="B3" s="7" t="s">
        <v>55</v>
      </c>
      <c r="C3" s="13" t="n">
        <v>0.35</v>
      </c>
      <c r="D3" s="7" t="s">
        <v>47</v>
      </c>
      <c r="E3" s="14"/>
    </row>
    <row r="5" customFormat="false" ht="31.5" hidden="false" customHeight="true" outlineLevel="0" collapsed="false">
      <c r="B5" s="6" t="s">
        <v>56</v>
      </c>
      <c r="C5" s="6" t="s">
        <v>57</v>
      </c>
      <c r="D5" s="6" t="s">
        <v>58</v>
      </c>
      <c r="E5" s="6" t="s">
        <v>59</v>
      </c>
      <c r="F5" s="6" t="s">
        <v>60</v>
      </c>
      <c r="G5" s="6" t="s">
        <v>61</v>
      </c>
      <c r="H5" s="6" t="s">
        <v>62</v>
      </c>
      <c r="I5" s="6" t="s">
        <v>31</v>
      </c>
      <c r="J5" s="6" t="s">
        <v>63</v>
      </c>
      <c r="K5" s="6" t="s">
        <v>64</v>
      </c>
      <c r="L5" s="6" t="s">
        <v>37</v>
      </c>
      <c r="M5" s="6" t="s">
        <v>39</v>
      </c>
      <c r="N5" s="6" t="s">
        <v>41</v>
      </c>
      <c r="O5" s="6" t="s">
        <v>43</v>
      </c>
      <c r="P5" s="6" t="s">
        <v>45</v>
      </c>
      <c r="Q5" s="6" t="s">
        <v>65</v>
      </c>
    </row>
    <row r="6" customFormat="false" ht="15" hidden="false" customHeight="false" outlineLevel="0" collapsed="false">
      <c r="B6" s="9" t="s">
        <v>66</v>
      </c>
      <c r="C6" s="7" t="s">
        <v>67</v>
      </c>
      <c r="D6" s="15" t="n">
        <v>3200</v>
      </c>
      <c r="E6" s="15" t="n">
        <v>640</v>
      </c>
      <c r="F6" s="16" t="n">
        <v>6400</v>
      </c>
      <c r="G6" s="15" t="n">
        <v>22</v>
      </c>
      <c r="H6" s="16" t="n">
        <v>211200</v>
      </c>
      <c r="I6" s="17" t="n">
        <f aca="false">E6/D6</f>
        <v>0.2</v>
      </c>
      <c r="J6" s="18" t="n">
        <f aca="false">F6/E6</f>
        <v>10</v>
      </c>
      <c r="K6" s="19" t="n">
        <f aca="false">G6/E6</f>
        <v>0.034375</v>
      </c>
      <c r="L6" s="20" t="n">
        <f aca="false">F6/G6</f>
        <v>290.909090909091</v>
      </c>
      <c r="M6" s="14" t="n">
        <f aca="false">H6/F6</f>
        <v>33</v>
      </c>
      <c r="N6" s="20" t="n">
        <f aca="false">H6*$C$3</f>
        <v>73920</v>
      </c>
      <c r="O6" s="20" t="n">
        <f aca="false">N6-F6</f>
        <v>67520</v>
      </c>
      <c r="P6" s="21" t="n">
        <f aca="false">O6/F6</f>
        <v>10.55</v>
      </c>
      <c r="Q6" s="11" t="str">
        <f aca="false">IF(M6&gt;=$E$3,"Profitable","Losing money")</f>
        <v>Profitable</v>
      </c>
    </row>
    <row r="7" customFormat="false" ht="15" hidden="false" customHeight="false" outlineLevel="0" collapsed="false">
      <c r="B7" s="9" t="s">
        <v>68</v>
      </c>
      <c r="C7" s="7" t="s">
        <v>69</v>
      </c>
      <c r="D7" s="15" t="n">
        <v>18000</v>
      </c>
      <c r="E7" s="15" t="n">
        <v>900</v>
      </c>
      <c r="F7" s="16" t="n">
        <v>31500</v>
      </c>
      <c r="G7" s="15" t="n">
        <v>14</v>
      </c>
      <c r="H7" s="16" t="n">
        <v>133000</v>
      </c>
      <c r="I7" s="17"/>
      <c r="J7" s="18"/>
      <c r="K7" s="19"/>
      <c r="L7" s="20"/>
      <c r="M7" s="14"/>
      <c r="N7" s="20"/>
      <c r="O7" s="20"/>
      <c r="P7" s="21"/>
      <c r="Q7" s="11"/>
    </row>
    <row r="8" customFormat="false" ht="15" hidden="false" customHeight="false" outlineLevel="0" collapsed="false">
      <c r="B8" s="9" t="s">
        <v>68</v>
      </c>
      <c r="C8" s="7" t="s">
        <v>70</v>
      </c>
      <c r="D8" s="15" t="n">
        <v>22000</v>
      </c>
      <c r="E8" s="15" t="n">
        <v>770</v>
      </c>
      <c r="F8" s="16" t="n">
        <v>23100</v>
      </c>
      <c r="G8" s="15" t="n">
        <v>6</v>
      </c>
      <c r="H8" s="16" t="n">
        <v>39000</v>
      </c>
      <c r="I8" s="17"/>
      <c r="J8" s="18"/>
      <c r="K8" s="19"/>
      <c r="L8" s="20"/>
      <c r="M8" s="14"/>
      <c r="N8" s="20"/>
      <c r="O8" s="20"/>
      <c r="P8" s="21"/>
      <c r="Q8" s="11"/>
    </row>
    <row r="9" customFormat="false" ht="15" hidden="false" customHeight="false" outlineLevel="0" collapsed="false">
      <c r="B9" s="9" t="s">
        <v>68</v>
      </c>
      <c r="C9" s="7" t="s">
        <v>71</v>
      </c>
      <c r="D9" s="15" t="n">
        <v>6500</v>
      </c>
      <c r="E9" s="15" t="n">
        <v>260</v>
      </c>
      <c r="F9" s="16" t="n">
        <v>9880</v>
      </c>
      <c r="G9" s="15" t="n">
        <v>4</v>
      </c>
      <c r="H9" s="16" t="n">
        <v>52000</v>
      </c>
      <c r="I9" s="17"/>
      <c r="J9" s="18"/>
      <c r="K9" s="19"/>
      <c r="L9" s="20"/>
      <c r="M9" s="14"/>
      <c r="N9" s="20"/>
      <c r="O9" s="20"/>
      <c r="P9" s="21"/>
      <c r="Q9" s="11"/>
    </row>
    <row r="10" customFormat="false" ht="15" hidden="false" customHeight="false" outlineLevel="0" collapsed="false">
      <c r="B10" s="9" t="s">
        <v>68</v>
      </c>
      <c r="C10" s="7" t="s">
        <v>72</v>
      </c>
      <c r="D10" s="15" t="n">
        <v>4800</v>
      </c>
      <c r="E10" s="15" t="n">
        <v>150</v>
      </c>
      <c r="F10" s="16" t="n">
        <v>5250</v>
      </c>
      <c r="G10" s="15" t="n">
        <v>3</v>
      </c>
      <c r="H10" s="16" t="n">
        <v>54000</v>
      </c>
      <c r="I10" s="17"/>
      <c r="J10" s="18"/>
      <c r="K10" s="19"/>
      <c r="L10" s="20"/>
      <c r="M10" s="14"/>
      <c r="N10" s="20"/>
      <c r="O10" s="20"/>
      <c r="P10" s="21"/>
      <c r="Q10" s="11"/>
    </row>
    <row r="11" customFormat="false" ht="15" hidden="false" customHeight="false" outlineLevel="0" collapsed="false">
      <c r="B11" s="9" t="s">
        <v>68</v>
      </c>
      <c r="C11" s="7" t="s">
        <v>73</v>
      </c>
      <c r="D11" s="15" t="n">
        <v>25000</v>
      </c>
      <c r="E11" s="15" t="n">
        <v>1000</v>
      </c>
      <c r="F11" s="16" t="n">
        <v>28000</v>
      </c>
      <c r="G11" s="15" t="n">
        <v>5</v>
      </c>
      <c r="H11" s="16" t="n">
        <v>40000</v>
      </c>
      <c r="I11" s="17"/>
      <c r="J11" s="18"/>
      <c r="K11" s="19"/>
      <c r="L11" s="20"/>
      <c r="M11" s="14"/>
      <c r="N11" s="20"/>
      <c r="O11" s="20"/>
      <c r="P11" s="21"/>
      <c r="Q11" s="11"/>
    </row>
    <row r="12" customFormat="false" ht="15" hidden="false" customHeight="false" outlineLevel="0" collapsed="false">
      <c r="B12" s="9" t="s">
        <v>74</v>
      </c>
      <c r="C12" s="7" t="s">
        <v>75</v>
      </c>
      <c r="D12" s="15" t="n">
        <v>9000</v>
      </c>
      <c r="E12" s="15" t="n">
        <v>420</v>
      </c>
      <c r="F12" s="16" t="n">
        <v>11760</v>
      </c>
      <c r="G12" s="15" t="n">
        <v>7</v>
      </c>
      <c r="H12" s="16" t="n">
        <v>63000</v>
      </c>
      <c r="I12" s="17"/>
      <c r="J12" s="18"/>
      <c r="K12" s="19"/>
      <c r="L12" s="20"/>
      <c r="M12" s="14"/>
      <c r="N12" s="20"/>
      <c r="O12" s="20"/>
      <c r="P12" s="21"/>
      <c r="Q12" s="11"/>
    </row>
    <row r="13" customFormat="false" ht="15" hidden="false" customHeight="false" outlineLevel="0" collapsed="false">
      <c r="B13" s="9" t="s">
        <v>74</v>
      </c>
      <c r="C13" s="7" t="s">
        <v>76</v>
      </c>
      <c r="D13" s="15" t="n">
        <v>3000</v>
      </c>
      <c r="E13" s="15" t="n">
        <v>105</v>
      </c>
      <c r="F13" s="16" t="n">
        <v>3990</v>
      </c>
      <c r="G13" s="15" t="n">
        <v>1</v>
      </c>
      <c r="H13" s="16" t="n">
        <v>12500</v>
      </c>
      <c r="I13" s="17"/>
      <c r="J13" s="18"/>
      <c r="K13" s="19"/>
      <c r="L13" s="20"/>
      <c r="M13" s="14"/>
      <c r="N13" s="20"/>
      <c r="O13" s="20"/>
      <c r="P13" s="21"/>
      <c r="Q13" s="11"/>
    </row>
    <row r="14" customFormat="false" ht="15" hidden="false" customHeight="false" outlineLevel="0" collapsed="false">
      <c r="B14" s="7" t="s">
        <v>26</v>
      </c>
      <c r="C14" s="9"/>
      <c r="D14" s="22" t="n">
        <f aca="false">SUM(D6:D13)</f>
        <v>91500</v>
      </c>
      <c r="E14" s="22" t="n">
        <f aca="false">SUM(E6:E13)</f>
        <v>4245</v>
      </c>
      <c r="F14" s="23" t="n">
        <f aca="false">SUM(F6:F13)</f>
        <v>119880</v>
      </c>
      <c r="G14" s="22" t="n">
        <f aca="false">SUM(G6:G13)</f>
        <v>62</v>
      </c>
      <c r="H14" s="23" t="n">
        <f aca="false">SUM(H6:H13)</f>
        <v>604700</v>
      </c>
      <c r="I14" s="17"/>
      <c r="J14" s="18"/>
      <c r="K14" s="19"/>
      <c r="L14" s="20"/>
      <c r="M14" s="14"/>
      <c r="N14" s="20"/>
      <c r="O14" s="20"/>
      <c r="P14" s="21"/>
      <c r="Q14" s="11"/>
    </row>
    <row r="15" customFormat="false" ht="15" hidden="false" customHeight="false" outlineLevel="0" collapsed="false">
      <c r="B15" s="24" t="s">
        <v>77</v>
      </c>
    </row>
    <row r="17" customFormat="false" ht="15" hidden="false" customHeight="false" outlineLevel="0" collapsed="false">
      <c r="B17" s="3" t="s">
        <v>78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customFormat="false" ht="30" hidden="false" customHeight="true" outlineLevel="0" collapsed="false">
      <c r="B18" s="8" t="s">
        <v>79</v>
      </c>
      <c r="C18" s="8"/>
      <c r="D18" s="8"/>
      <c r="E18" s="8"/>
      <c r="F18" s="8"/>
      <c r="G18" s="8"/>
      <c r="H18" s="11"/>
      <c r="I18" s="11"/>
      <c r="J18" s="11"/>
    </row>
    <row r="19" customFormat="false" ht="30" hidden="false" customHeight="true" outlineLevel="0" collapsed="false">
      <c r="B19" s="8" t="s">
        <v>80</v>
      </c>
      <c r="C19" s="8"/>
      <c r="D19" s="8"/>
      <c r="E19" s="8"/>
      <c r="F19" s="8"/>
      <c r="G19" s="8"/>
      <c r="H19" s="11"/>
      <c r="I19" s="11"/>
      <c r="J19" s="11"/>
    </row>
    <row r="20" customFormat="false" ht="30" hidden="false" customHeight="true" outlineLevel="0" collapsed="false">
      <c r="B20" s="8" t="s">
        <v>81</v>
      </c>
      <c r="C20" s="8"/>
      <c r="D20" s="8"/>
      <c r="E20" s="8"/>
      <c r="F20" s="8"/>
      <c r="G20" s="8"/>
      <c r="H20" s="11"/>
      <c r="I20" s="11"/>
      <c r="J20" s="11"/>
    </row>
    <row r="21" customFormat="false" ht="30" hidden="false" customHeight="true" outlineLevel="0" collapsed="false">
      <c r="B21" s="8" t="s">
        <v>82</v>
      </c>
      <c r="C21" s="8"/>
      <c r="D21" s="8"/>
      <c r="E21" s="8"/>
      <c r="F21" s="8"/>
      <c r="G21" s="8"/>
      <c r="H21" s="25"/>
      <c r="I21" s="25"/>
      <c r="J21" s="25"/>
    </row>
    <row r="22" customFormat="false" ht="30" hidden="false" customHeight="true" outlineLevel="0" collapsed="false">
      <c r="B22" s="8" t="s">
        <v>83</v>
      </c>
      <c r="C22" s="8"/>
      <c r="D22" s="8"/>
      <c r="E22" s="8"/>
      <c r="F22" s="8"/>
      <c r="G22" s="8"/>
      <c r="H22" s="14"/>
      <c r="I22" s="14"/>
      <c r="J22" s="14"/>
    </row>
    <row r="23" customFormat="false" ht="75" hidden="false" customHeight="true" outlineLevel="0" collapsed="false">
      <c r="B23" s="8" t="s">
        <v>84</v>
      </c>
      <c r="C23" s="8"/>
      <c r="D23" s="8"/>
      <c r="E23" s="8"/>
      <c r="F23" s="8"/>
      <c r="G23" s="8"/>
      <c r="H23" s="26"/>
      <c r="I23" s="26"/>
      <c r="J23" s="26"/>
      <c r="K23" s="26"/>
    </row>
  </sheetData>
  <mergeCells count="12">
    <mergeCell ref="B18:G18"/>
    <mergeCell ref="H18:J18"/>
    <mergeCell ref="B19:G19"/>
    <mergeCell ref="H19:J19"/>
    <mergeCell ref="B20:G20"/>
    <mergeCell ref="H20:J20"/>
    <mergeCell ref="B21:G21"/>
    <mergeCell ref="H21:J21"/>
    <mergeCell ref="B22:G22"/>
    <mergeCell ref="H22:J22"/>
    <mergeCell ref="B23:G23"/>
    <mergeCell ref="H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17.35" hidden="false" customHeight="false" outlineLevel="0" collapsed="false">
      <c r="B1" s="1" t="s">
        <v>85</v>
      </c>
    </row>
    <row r="2" customFormat="false" ht="15" hidden="false" customHeight="false" outlineLevel="0" collapsed="false">
      <c r="B2" s="2" t="s">
        <v>86</v>
      </c>
    </row>
    <row r="3" customFormat="false" ht="15" hidden="false" customHeight="false" outlineLevel="0" collapsed="false">
      <c r="B3" s="24" t="s">
        <v>87</v>
      </c>
    </row>
    <row r="5" customFormat="false" ht="31.5" hidden="false" customHeight="true" outlineLevel="0" collapsed="false">
      <c r="B5" s="6" t="s">
        <v>88</v>
      </c>
      <c r="C5" s="6" t="s">
        <v>57</v>
      </c>
      <c r="D5" s="6" t="s">
        <v>58</v>
      </c>
      <c r="E5" s="6" t="s">
        <v>60</v>
      </c>
      <c r="F5" s="6" t="s">
        <v>89</v>
      </c>
      <c r="G5" s="6" t="s">
        <v>90</v>
      </c>
      <c r="H5" s="6" t="s">
        <v>91</v>
      </c>
      <c r="I5" s="6" t="s">
        <v>92</v>
      </c>
      <c r="J5" s="6" t="s">
        <v>93</v>
      </c>
      <c r="K5" s="6" t="s">
        <v>94</v>
      </c>
      <c r="L5" s="6" t="s">
        <v>95</v>
      </c>
    </row>
    <row r="6" customFormat="false" ht="15" hidden="false" customHeight="false" outlineLevel="0" collapsed="false">
      <c r="B6" s="7" t="s">
        <v>96</v>
      </c>
      <c r="C6" s="9" t="s">
        <v>69</v>
      </c>
      <c r="D6" s="15" t="n">
        <v>6000</v>
      </c>
      <c r="E6" s="16" t="n">
        <v>11000</v>
      </c>
      <c r="F6" s="9" t="n">
        <v>6</v>
      </c>
      <c r="G6" s="9" t="s">
        <v>97</v>
      </c>
      <c r="H6" s="9" t="s">
        <v>98</v>
      </c>
      <c r="I6" s="9" t="s">
        <v>99</v>
      </c>
      <c r="J6" s="25" t="n">
        <f aca="false">COUNTIF(G6:I6,"Below average")</f>
        <v>1</v>
      </c>
      <c r="K6" s="27" t="n">
        <f aca="false">F6*D6</f>
        <v>36000</v>
      </c>
      <c r="L6" s="11" t="str">
        <f aca="false">IF(I6="Below average","Landing page",IF(H6="Below average","Ad relevance",IF(G6="Below average","Expected CTR","No urgent fix")))</f>
        <v>Landing page</v>
      </c>
    </row>
    <row r="7" customFormat="false" ht="15" hidden="false" customHeight="false" outlineLevel="0" collapsed="false">
      <c r="B7" s="7" t="s">
        <v>100</v>
      </c>
      <c r="C7" s="9" t="s">
        <v>69</v>
      </c>
      <c r="D7" s="15" t="n">
        <v>5500</v>
      </c>
      <c r="E7" s="16" t="n">
        <v>9800</v>
      </c>
      <c r="F7" s="9" t="n">
        <v>7</v>
      </c>
      <c r="G7" s="9" t="s">
        <v>98</v>
      </c>
      <c r="H7" s="9" t="s">
        <v>98</v>
      </c>
      <c r="I7" s="9" t="s">
        <v>97</v>
      </c>
      <c r="J7" s="25"/>
      <c r="K7" s="27"/>
      <c r="L7" s="11"/>
    </row>
    <row r="8" customFormat="false" ht="15" hidden="false" customHeight="false" outlineLevel="0" collapsed="false">
      <c r="B8" s="7" t="s">
        <v>101</v>
      </c>
      <c r="C8" s="9" t="s">
        <v>69</v>
      </c>
      <c r="D8" s="15" t="n">
        <v>3200</v>
      </c>
      <c r="E8" s="16" t="n">
        <v>6100</v>
      </c>
      <c r="F8" s="9" t="n">
        <v>5</v>
      </c>
      <c r="G8" s="9" t="s">
        <v>97</v>
      </c>
      <c r="H8" s="9" t="s">
        <v>97</v>
      </c>
      <c r="I8" s="9" t="s">
        <v>99</v>
      </c>
      <c r="J8" s="25"/>
      <c r="K8" s="27"/>
      <c r="L8" s="11"/>
    </row>
    <row r="9" customFormat="false" ht="15" hidden="false" customHeight="false" outlineLevel="0" collapsed="false">
      <c r="B9" s="7" t="s">
        <v>102</v>
      </c>
      <c r="C9" s="9" t="s">
        <v>70</v>
      </c>
      <c r="D9" s="15" t="n">
        <v>9000</v>
      </c>
      <c r="E9" s="16" t="n">
        <v>12500</v>
      </c>
      <c r="F9" s="9" t="n">
        <v>3</v>
      </c>
      <c r="G9" s="9" t="s">
        <v>99</v>
      </c>
      <c r="H9" s="9" t="s">
        <v>99</v>
      </c>
      <c r="I9" s="9" t="s">
        <v>99</v>
      </c>
      <c r="J9" s="25"/>
      <c r="K9" s="27"/>
      <c r="L9" s="11"/>
    </row>
    <row r="10" customFormat="false" ht="15" hidden="false" customHeight="false" outlineLevel="0" collapsed="false">
      <c r="B10" s="7" t="s">
        <v>103</v>
      </c>
      <c r="C10" s="9" t="s">
        <v>70</v>
      </c>
      <c r="D10" s="15" t="n">
        <v>7000</v>
      </c>
      <c r="E10" s="16" t="n">
        <v>8000</v>
      </c>
      <c r="F10" s="9" t="n">
        <v>4</v>
      </c>
      <c r="G10" s="9" t="s">
        <v>97</v>
      </c>
      <c r="H10" s="9" t="s">
        <v>99</v>
      </c>
      <c r="I10" s="9" t="s">
        <v>99</v>
      </c>
      <c r="J10" s="25"/>
      <c r="K10" s="27"/>
      <c r="L10" s="11"/>
    </row>
    <row r="11" customFormat="false" ht="15" hidden="false" customHeight="false" outlineLevel="0" collapsed="false">
      <c r="B11" s="7" t="s">
        <v>104</v>
      </c>
      <c r="C11" s="9" t="s">
        <v>71</v>
      </c>
      <c r="D11" s="15" t="n">
        <v>4000</v>
      </c>
      <c r="E11" s="16" t="n">
        <v>6200</v>
      </c>
      <c r="F11" s="9" t="n">
        <v>8</v>
      </c>
      <c r="G11" s="9" t="s">
        <v>98</v>
      </c>
      <c r="H11" s="9" t="s">
        <v>98</v>
      </c>
      <c r="I11" s="9" t="s">
        <v>97</v>
      </c>
      <c r="J11" s="25"/>
      <c r="K11" s="27"/>
      <c r="L11" s="11"/>
    </row>
    <row r="12" customFormat="false" ht="15" hidden="false" customHeight="false" outlineLevel="0" collapsed="false">
      <c r="B12" s="7" t="s">
        <v>105</v>
      </c>
      <c r="C12" s="9" t="s">
        <v>71</v>
      </c>
      <c r="D12" s="15" t="n">
        <v>2500</v>
      </c>
      <c r="E12" s="16" t="n">
        <v>3680</v>
      </c>
      <c r="F12" s="9" t="n">
        <v>6</v>
      </c>
      <c r="G12" s="9" t="s">
        <v>97</v>
      </c>
      <c r="H12" s="9" t="s">
        <v>98</v>
      </c>
      <c r="I12" s="9" t="s">
        <v>97</v>
      </c>
      <c r="J12" s="25"/>
      <c r="K12" s="27"/>
      <c r="L12" s="11"/>
    </row>
    <row r="13" customFormat="false" ht="15" hidden="false" customHeight="false" outlineLevel="0" collapsed="false">
      <c r="B13" s="7" t="s">
        <v>106</v>
      </c>
      <c r="C13" s="9" t="s">
        <v>72</v>
      </c>
      <c r="D13" s="15" t="n">
        <v>4800</v>
      </c>
      <c r="E13" s="16" t="n">
        <v>5250</v>
      </c>
      <c r="F13" s="9" t="n">
        <v>7</v>
      </c>
      <c r="G13" s="9" t="s">
        <v>97</v>
      </c>
      <c r="H13" s="9" t="s">
        <v>98</v>
      </c>
      <c r="I13" s="9" t="s">
        <v>97</v>
      </c>
      <c r="J13" s="25"/>
      <c r="K13" s="27"/>
      <c r="L13" s="11"/>
    </row>
    <row r="14" customFormat="false" ht="15" hidden="false" customHeight="false" outlineLevel="0" collapsed="false">
      <c r="B14" s="7" t="s">
        <v>107</v>
      </c>
      <c r="C14" s="9" t="s">
        <v>73</v>
      </c>
      <c r="D14" s="15" t="n">
        <v>15000</v>
      </c>
      <c r="E14" s="16" t="n">
        <v>16000</v>
      </c>
      <c r="F14" s="9" t="n">
        <v>4</v>
      </c>
      <c r="G14" s="9" t="s">
        <v>99</v>
      </c>
      <c r="H14" s="9" t="s">
        <v>97</v>
      </c>
      <c r="I14" s="9" t="s">
        <v>99</v>
      </c>
      <c r="J14" s="25"/>
      <c r="K14" s="27"/>
      <c r="L14" s="11"/>
    </row>
    <row r="15" customFormat="false" ht="15" hidden="false" customHeight="false" outlineLevel="0" collapsed="false">
      <c r="B15" s="7" t="s">
        <v>108</v>
      </c>
      <c r="C15" s="9" t="s">
        <v>73</v>
      </c>
      <c r="D15" s="15" t="n">
        <v>10000</v>
      </c>
      <c r="E15" s="16" t="n">
        <v>12000</v>
      </c>
      <c r="F15" s="9" t="n">
        <v>5</v>
      </c>
      <c r="G15" s="9" t="s">
        <v>97</v>
      </c>
      <c r="H15" s="9" t="s">
        <v>97</v>
      </c>
      <c r="I15" s="9" t="s">
        <v>99</v>
      </c>
      <c r="J15" s="25"/>
      <c r="K15" s="27"/>
      <c r="L15" s="11"/>
    </row>
    <row r="16" customFormat="false" ht="15" hidden="false" customHeight="false" outlineLevel="0" collapsed="false">
      <c r="B16" s="7" t="s">
        <v>109</v>
      </c>
      <c r="C16" s="9" t="s">
        <v>75</v>
      </c>
      <c r="D16" s="15" t="n">
        <v>9000</v>
      </c>
      <c r="E16" s="16" t="n">
        <v>11760</v>
      </c>
      <c r="F16" s="9" t="n">
        <v>6</v>
      </c>
      <c r="G16" s="9" t="s">
        <v>97</v>
      </c>
      <c r="H16" s="9" t="s">
        <v>97</v>
      </c>
      <c r="I16" s="9" t="s">
        <v>97</v>
      </c>
      <c r="J16" s="25"/>
      <c r="K16" s="27"/>
      <c r="L16" s="11"/>
    </row>
    <row r="17" customFormat="false" ht="15" hidden="false" customHeight="false" outlineLevel="0" collapsed="false">
      <c r="B17" s="7" t="s">
        <v>110</v>
      </c>
      <c r="C17" s="9" t="s">
        <v>76</v>
      </c>
      <c r="D17" s="15" t="n">
        <v>3000</v>
      </c>
      <c r="E17" s="16" t="n">
        <v>3990</v>
      </c>
      <c r="F17" s="9" t="n">
        <v>5</v>
      </c>
      <c r="G17" s="9" t="s">
        <v>99</v>
      </c>
      <c r="H17" s="9" t="s">
        <v>97</v>
      </c>
      <c r="I17" s="9" t="s">
        <v>97</v>
      </c>
      <c r="J17" s="25"/>
      <c r="K17" s="27"/>
      <c r="L17" s="11"/>
    </row>
    <row r="18" customFormat="false" ht="15" hidden="false" customHeight="false" outlineLevel="0" collapsed="false">
      <c r="B18" s="24" t="s">
        <v>111</v>
      </c>
    </row>
    <row r="20" customFormat="false" ht="15" hidden="false" customHeight="false" outlineLevel="0" collapsed="false">
      <c r="B20" s="3" t="s">
        <v>112</v>
      </c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30" hidden="false" customHeight="true" outlineLevel="0" collapsed="false">
      <c r="B21" s="8" t="s">
        <v>113</v>
      </c>
      <c r="C21" s="8"/>
      <c r="D21" s="8"/>
      <c r="E21" s="8"/>
      <c r="F21" s="8"/>
      <c r="G21" s="8"/>
      <c r="H21" s="14"/>
      <c r="I21" s="14"/>
    </row>
    <row r="22" customFormat="false" ht="30" hidden="false" customHeight="true" outlineLevel="0" collapsed="false">
      <c r="B22" s="8" t="s">
        <v>114</v>
      </c>
      <c r="C22" s="8"/>
      <c r="D22" s="8"/>
      <c r="E22" s="8"/>
      <c r="F22" s="8"/>
      <c r="G22" s="8"/>
      <c r="H22" s="14"/>
      <c r="I22" s="14"/>
    </row>
    <row r="23" customFormat="false" ht="30" hidden="false" customHeight="true" outlineLevel="0" collapsed="false">
      <c r="B23" s="8" t="s">
        <v>115</v>
      </c>
      <c r="C23" s="8"/>
      <c r="D23" s="8"/>
      <c r="E23" s="8"/>
      <c r="F23" s="8"/>
      <c r="G23" s="8"/>
      <c r="H23" s="25"/>
      <c r="I23" s="25"/>
    </row>
    <row r="24" customFormat="false" ht="30" hidden="false" customHeight="true" outlineLevel="0" collapsed="false">
      <c r="B24" s="8" t="s">
        <v>116</v>
      </c>
      <c r="C24" s="8"/>
      <c r="D24" s="8"/>
      <c r="E24" s="8"/>
      <c r="F24" s="8"/>
      <c r="G24" s="8"/>
      <c r="H24" s="20"/>
      <c r="I24" s="20"/>
    </row>
    <row r="25" customFormat="false" ht="30" hidden="false" customHeight="true" outlineLevel="0" collapsed="false">
      <c r="B25" s="8" t="s">
        <v>117</v>
      </c>
      <c r="C25" s="8"/>
      <c r="D25" s="8"/>
      <c r="E25" s="8"/>
      <c r="F25" s="8"/>
      <c r="G25" s="8"/>
      <c r="H25" s="17"/>
      <c r="I25" s="17"/>
    </row>
    <row r="26" customFormat="false" ht="75" hidden="false" customHeight="true" outlineLevel="0" collapsed="false">
      <c r="B26" s="8" t="s">
        <v>118</v>
      </c>
      <c r="C26" s="8"/>
      <c r="D26" s="8"/>
      <c r="E26" s="8"/>
      <c r="F26" s="8"/>
      <c r="G26" s="8"/>
      <c r="H26" s="26"/>
      <c r="I26" s="26"/>
      <c r="J26" s="26"/>
      <c r="K26" s="26"/>
    </row>
  </sheetData>
  <mergeCells count="12">
    <mergeCell ref="B21:G21"/>
    <mergeCell ref="H21:I21"/>
    <mergeCell ref="B22:G22"/>
    <mergeCell ref="H22:I22"/>
    <mergeCell ref="B23:G23"/>
    <mergeCell ref="H23:I23"/>
    <mergeCell ref="B24:G24"/>
    <mergeCell ref="H24:I24"/>
    <mergeCell ref="B25:G25"/>
    <mergeCell ref="H25:I25"/>
    <mergeCell ref="B26:G26"/>
    <mergeCell ref="H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2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8" min="7" style="0" width="14"/>
  </cols>
  <sheetData>
    <row r="1" customFormat="false" ht="17.35" hidden="false" customHeight="false" outlineLevel="0" collapsed="false">
      <c r="B1" s="1" t="s">
        <v>119</v>
      </c>
    </row>
    <row r="2" customFormat="false" ht="15" hidden="false" customHeight="false" outlineLevel="0" collapsed="false">
      <c r="B2" s="2" t="s">
        <v>120</v>
      </c>
    </row>
    <row r="3" customFormat="false" ht="15" hidden="false" customHeight="false" outlineLevel="0" collapsed="false">
      <c r="B3" s="24" t="s">
        <v>121</v>
      </c>
    </row>
    <row r="5" customFormat="false" ht="15" hidden="false" customHeight="false" outlineLevel="0" collapsed="false">
      <c r="B5" s="6" t="s">
        <v>122</v>
      </c>
      <c r="C5" s="6" t="s">
        <v>123</v>
      </c>
      <c r="D5" s="6" t="s">
        <v>59</v>
      </c>
      <c r="E5" s="6" t="s">
        <v>60</v>
      </c>
      <c r="F5" s="6" t="s">
        <v>61</v>
      </c>
      <c r="G5" s="6" t="s">
        <v>124</v>
      </c>
      <c r="H5" s="6" t="s">
        <v>125</v>
      </c>
    </row>
    <row r="6" customFormat="false" ht="15" hidden="false" customHeight="false" outlineLevel="0" collapsed="false">
      <c r="B6" s="9" t="n">
        <v>1</v>
      </c>
      <c r="C6" s="9" t="s">
        <v>100</v>
      </c>
      <c r="D6" s="15" t="n">
        <v>120</v>
      </c>
      <c r="E6" s="16" t="n">
        <v>4200</v>
      </c>
      <c r="F6" s="28" t="n">
        <v>3</v>
      </c>
      <c r="G6" s="11" t="s">
        <v>126</v>
      </c>
      <c r="H6" s="20" t="n">
        <f aca="false">IFERROR(E6/F6,"–")</f>
        <v>1400</v>
      </c>
    </row>
    <row r="7" customFormat="false" ht="15" hidden="false" customHeight="false" outlineLevel="0" collapsed="false">
      <c r="B7" s="9" t="n">
        <v>2</v>
      </c>
      <c r="C7" s="9" t="s">
        <v>107</v>
      </c>
      <c r="D7" s="15" t="n">
        <v>95</v>
      </c>
      <c r="E7" s="16" t="n">
        <v>2850</v>
      </c>
      <c r="F7" s="28" t="n">
        <v>1</v>
      </c>
      <c r="G7" s="11"/>
      <c r="H7" s="20"/>
    </row>
    <row r="8" customFormat="false" ht="15" hidden="false" customHeight="false" outlineLevel="0" collapsed="false">
      <c r="B8" s="9" t="n">
        <v>3</v>
      </c>
      <c r="C8" s="9" t="s">
        <v>127</v>
      </c>
      <c r="D8" s="15" t="n">
        <v>60</v>
      </c>
      <c r="E8" s="16" t="n">
        <v>1680</v>
      </c>
      <c r="F8" s="28" t="n">
        <v>0</v>
      </c>
      <c r="G8" s="11"/>
      <c r="H8" s="20"/>
    </row>
    <row r="9" customFormat="false" ht="15" hidden="false" customHeight="false" outlineLevel="0" collapsed="false">
      <c r="B9" s="9" t="n">
        <v>4</v>
      </c>
      <c r="C9" s="9" t="s">
        <v>102</v>
      </c>
      <c r="D9" s="15" t="n">
        <v>88</v>
      </c>
      <c r="E9" s="16" t="n">
        <v>2640</v>
      </c>
      <c r="F9" s="28" t="n">
        <v>1</v>
      </c>
      <c r="G9" s="11"/>
      <c r="H9" s="20"/>
    </row>
    <row r="10" customFormat="false" ht="15" hidden="false" customHeight="false" outlineLevel="0" collapsed="false">
      <c r="B10" s="9" t="n">
        <v>5</v>
      </c>
      <c r="C10" s="9" t="s">
        <v>128</v>
      </c>
      <c r="D10" s="15" t="n">
        <v>22</v>
      </c>
      <c r="E10" s="16" t="n">
        <v>616</v>
      </c>
      <c r="F10" s="28" t="n">
        <v>0</v>
      </c>
      <c r="G10" s="11"/>
      <c r="H10" s="20"/>
    </row>
    <row r="11" customFormat="false" ht="15" hidden="false" customHeight="false" outlineLevel="0" collapsed="false">
      <c r="B11" s="9" t="n">
        <v>6</v>
      </c>
      <c r="C11" s="9" t="s">
        <v>129</v>
      </c>
      <c r="D11" s="15" t="n">
        <v>30</v>
      </c>
      <c r="E11" s="16" t="n">
        <v>840</v>
      </c>
      <c r="F11" s="28" t="n">
        <v>0</v>
      </c>
      <c r="G11" s="11"/>
      <c r="H11" s="20"/>
    </row>
    <row r="12" customFormat="false" ht="15" hidden="false" customHeight="false" outlineLevel="0" collapsed="false">
      <c r="B12" s="9" t="n">
        <v>7</v>
      </c>
      <c r="C12" s="9" t="s">
        <v>108</v>
      </c>
      <c r="D12" s="15" t="n">
        <v>70</v>
      </c>
      <c r="E12" s="16" t="n">
        <v>1960</v>
      </c>
      <c r="F12" s="28" t="n">
        <v>1</v>
      </c>
      <c r="G12" s="11"/>
      <c r="H12" s="20"/>
    </row>
    <row r="13" customFormat="false" ht="15" hidden="false" customHeight="false" outlineLevel="0" collapsed="false">
      <c r="B13" s="9" t="n">
        <v>8</v>
      </c>
      <c r="C13" s="9" t="s">
        <v>130</v>
      </c>
      <c r="D13" s="15" t="n">
        <v>45</v>
      </c>
      <c r="E13" s="16" t="n">
        <v>1260</v>
      </c>
      <c r="F13" s="28" t="n">
        <v>0</v>
      </c>
      <c r="G13" s="11"/>
      <c r="H13" s="20"/>
    </row>
    <row r="14" customFormat="false" ht="15" hidden="false" customHeight="false" outlineLevel="0" collapsed="false">
      <c r="B14" s="9" t="n">
        <v>9</v>
      </c>
      <c r="C14" s="9" t="s">
        <v>104</v>
      </c>
      <c r="D14" s="15" t="n">
        <v>40</v>
      </c>
      <c r="E14" s="16" t="n">
        <v>1520</v>
      </c>
      <c r="F14" s="28" t="n">
        <v>1</v>
      </c>
      <c r="G14" s="11"/>
      <c r="H14" s="20"/>
    </row>
    <row r="15" customFormat="false" ht="15" hidden="false" customHeight="false" outlineLevel="0" collapsed="false">
      <c r="B15" s="9" t="n">
        <v>10</v>
      </c>
      <c r="C15" s="9" t="s">
        <v>131</v>
      </c>
      <c r="D15" s="15" t="n">
        <v>25</v>
      </c>
      <c r="E15" s="16" t="n">
        <v>700</v>
      </c>
      <c r="F15" s="28" t="n">
        <v>0</v>
      </c>
      <c r="G15" s="11"/>
      <c r="H15" s="20"/>
    </row>
    <row r="16" customFormat="false" ht="15" hidden="false" customHeight="false" outlineLevel="0" collapsed="false">
      <c r="B16" s="9" t="n">
        <v>11</v>
      </c>
      <c r="C16" s="9" t="s">
        <v>132</v>
      </c>
      <c r="D16" s="15" t="n">
        <v>28</v>
      </c>
      <c r="E16" s="16" t="n">
        <v>560</v>
      </c>
      <c r="F16" s="28" t="n">
        <v>0</v>
      </c>
      <c r="G16" s="11"/>
      <c r="H16" s="20"/>
    </row>
    <row r="17" customFormat="false" ht="15" hidden="false" customHeight="false" outlineLevel="0" collapsed="false">
      <c r="B17" s="9" t="n">
        <v>12</v>
      </c>
      <c r="C17" s="9" t="s">
        <v>133</v>
      </c>
      <c r="D17" s="15" t="n">
        <v>65</v>
      </c>
      <c r="E17" s="16" t="n">
        <v>1820</v>
      </c>
      <c r="F17" s="28" t="n">
        <v>2</v>
      </c>
      <c r="G17" s="11"/>
      <c r="H17" s="20"/>
    </row>
    <row r="18" customFormat="false" ht="15" hidden="false" customHeight="false" outlineLevel="0" collapsed="false">
      <c r="B18" s="9" t="n">
        <v>13</v>
      </c>
      <c r="C18" s="9" t="s">
        <v>134</v>
      </c>
      <c r="D18" s="15" t="n">
        <v>18</v>
      </c>
      <c r="E18" s="16" t="n">
        <v>540</v>
      </c>
      <c r="F18" s="28" t="n">
        <v>0</v>
      </c>
      <c r="G18" s="11"/>
      <c r="H18" s="20"/>
    </row>
    <row r="19" customFormat="false" ht="15" hidden="false" customHeight="false" outlineLevel="0" collapsed="false">
      <c r="B19" s="9" t="n">
        <v>14</v>
      </c>
      <c r="C19" s="9" t="s">
        <v>106</v>
      </c>
      <c r="D19" s="15" t="n">
        <v>25</v>
      </c>
      <c r="E19" s="16" t="n">
        <v>875</v>
      </c>
      <c r="F19" s="28" t="n">
        <v>1</v>
      </c>
      <c r="G19" s="11"/>
      <c r="H19" s="20"/>
    </row>
    <row r="20" customFormat="false" ht="15" hidden="false" customHeight="false" outlineLevel="0" collapsed="false">
      <c r="B20" s="9" t="n">
        <v>15</v>
      </c>
      <c r="C20" s="9" t="s">
        <v>135</v>
      </c>
      <c r="D20" s="15" t="n">
        <v>20</v>
      </c>
      <c r="E20" s="16" t="n">
        <v>600</v>
      </c>
      <c r="F20" s="28" t="n">
        <v>0</v>
      </c>
      <c r="G20" s="11"/>
      <c r="H20" s="20"/>
    </row>
    <row r="21" customFormat="false" ht="15" hidden="false" customHeight="false" outlineLevel="0" collapsed="false">
      <c r="B21" s="9" t="n">
        <v>16</v>
      </c>
      <c r="C21" s="9" t="s">
        <v>136</v>
      </c>
      <c r="D21" s="15" t="n">
        <v>35</v>
      </c>
      <c r="E21" s="16" t="n">
        <v>980</v>
      </c>
      <c r="F21" s="28" t="n">
        <v>0</v>
      </c>
      <c r="G21" s="11"/>
      <c r="H21" s="20"/>
    </row>
    <row r="22" customFormat="false" ht="15" hidden="false" customHeight="false" outlineLevel="0" collapsed="false">
      <c r="B22" s="9" t="n">
        <v>17</v>
      </c>
      <c r="C22" s="9" t="s">
        <v>137</v>
      </c>
      <c r="D22" s="15" t="n">
        <v>30</v>
      </c>
      <c r="E22" s="16" t="n">
        <v>900</v>
      </c>
      <c r="F22" s="28" t="n">
        <v>1</v>
      </c>
      <c r="G22" s="11"/>
      <c r="H22" s="20"/>
    </row>
    <row r="23" customFormat="false" ht="15" hidden="false" customHeight="false" outlineLevel="0" collapsed="false">
      <c r="B23" s="9" t="n">
        <v>18</v>
      </c>
      <c r="C23" s="9" t="s">
        <v>138</v>
      </c>
      <c r="D23" s="15" t="n">
        <v>12</v>
      </c>
      <c r="E23" s="16" t="n">
        <v>300</v>
      </c>
      <c r="F23" s="28" t="n">
        <v>0</v>
      </c>
      <c r="G23" s="11"/>
      <c r="H23" s="20"/>
    </row>
    <row r="24" customFormat="false" ht="15" hidden="false" customHeight="false" outlineLevel="0" collapsed="false">
      <c r="B24" s="9" t="n">
        <v>19</v>
      </c>
      <c r="C24" s="9" t="s">
        <v>139</v>
      </c>
      <c r="D24" s="15" t="n">
        <v>16</v>
      </c>
      <c r="E24" s="16" t="n">
        <v>480</v>
      </c>
      <c r="F24" s="28" t="n">
        <v>0</v>
      </c>
      <c r="G24" s="11"/>
      <c r="H24" s="20"/>
    </row>
    <row r="25" customFormat="false" ht="15" hidden="false" customHeight="false" outlineLevel="0" collapsed="false">
      <c r="B25" s="9" t="n">
        <v>20</v>
      </c>
      <c r="C25" s="9" t="s">
        <v>140</v>
      </c>
      <c r="D25" s="15" t="n">
        <v>22</v>
      </c>
      <c r="E25" s="16" t="n">
        <v>770</v>
      </c>
      <c r="F25" s="28" t="n">
        <v>0</v>
      </c>
      <c r="G25" s="11"/>
      <c r="H25" s="20"/>
    </row>
    <row r="26" customFormat="false" ht="15" hidden="false" customHeight="false" outlineLevel="0" collapsed="false">
      <c r="B26" s="9" t="n">
        <v>21</v>
      </c>
      <c r="C26" s="9" t="s">
        <v>141</v>
      </c>
      <c r="D26" s="15" t="n">
        <v>14</v>
      </c>
      <c r="E26" s="16" t="n">
        <v>350</v>
      </c>
      <c r="F26" s="28" t="n">
        <v>0</v>
      </c>
      <c r="G26" s="11"/>
      <c r="H26" s="20"/>
    </row>
    <row r="27" customFormat="false" ht="15" hidden="false" customHeight="false" outlineLevel="0" collapsed="false">
      <c r="B27" s="9" t="n">
        <v>22</v>
      </c>
      <c r="C27" s="9" t="s">
        <v>142</v>
      </c>
      <c r="D27" s="15" t="n">
        <v>20</v>
      </c>
      <c r="E27" s="16" t="n">
        <v>400</v>
      </c>
      <c r="F27" s="28" t="n">
        <v>0</v>
      </c>
      <c r="G27" s="11"/>
      <c r="H27" s="20"/>
    </row>
    <row r="28" customFormat="false" ht="15" hidden="false" customHeight="false" outlineLevel="0" collapsed="false">
      <c r="B28" s="9" t="n">
        <v>23</v>
      </c>
      <c r="C28" s="9" t="s">
        <v>143</v>
      </c>
      <c r="D28" s="15" t="n">
        <v>18</v>
      </c>
      <c r="E28" s="16" t="n">
        <v>540</v>
      </c>
      <c r="F28" s="28" t="n">
        <v>1</v>
      </c>
      <c r="G28" s="11"/>
      <c r="H28" s="20"/>
    </row>
    <row r="29" customFormat="false" ht="15" hidden="false" customHeight="false" outlineLevel="0" collapsed="false">
      <c r="B29" s="9" t="n">
        <v>24</v>
      </c>
      <c r="C29" s="9" t="s">
        <v>144</v>
      </c>
      <c r="D29" s="15" t="n">
        <v>24</v>
      </c>
      <c r="E29" s="16" t="n">
        <v>720</v>
      </c>
      <c r="F29" s="28" t="n">
        <v>0</v>
      </c>
      <c r="G29" s="11"/>
      <c r="H29" s="20"/>
    </row>
    <row r="30" customFormat="false" ht="15" hidden="false" customHeight="false" outlineLevel="0" collapsed="false">
      <c r="B30" s="9" t="n">
        <v>25</v>
      </c>
      <c r="C30" s="9" t="s">
        <v>110</v>
      </c>
      <c r="D30" s="15" t="n">
        <v>15</v>
      </c>
      <c r="E30" s="16" t="n">
        <v>570</v>
      </c>
      <c r="F30" s="28" t="n">
        <v>0</v>
      </c>
      <c r="G30" s="11"/>
      <c r="H30" s="20"/>
    </row>
    <row r="31" customFormat="false" ht="15" hidden="false" customHeight="false" outlineLevel="0" collapsed="false">
      <c r="B31" s="9" t="n">
        <v>26</v>
      </c>
      <c r="C31" s="9" t="s">
        <v>145</v>
      </c>
      <c r="D31" s="15" t="n">
        <v>12</v>
      </c>
      <c r="E31" s="16" t="n">
        <v>420</v>
      </c>
      <c r="F31" s="28" t="n">
        <v>0</v>
      </c>
      <c r="G31" s="11"/>
      <c r="H31" s="20"/>
    </row>
    <row r="32" customFormat="false" ht="15" hidden="false" customHeight="false" outlineLevel="0" collapsed="false">
      <c r="B32" s="9" t="n">
        <v>27</v>
      </c>
      <c r="C32" s="9" t="s">
        <v>146</v>
      </c>
      <c r="D32" s="15" t="n">
        <v>26</v>
      </c>
      <c r="E32" s="16" t="n">
        <v>650</v>
      </c>
      <c r="F32" s="28" t="n">
        <v>0</v>
      </c>
      <c r="G32" s="11"/>
      <c r="H32" s="20"/>
    </row>
    <row r="33" customFormat="false" ht="15" hidden="false" customHeight="false" outlineLevel="0" collapsed="false">
      <c r="B33" s="9" t="n">
        <v>28</v>
      </c>
      <c r="C33" s="9" t="s">
        <v>147</v>
      </c>
      <c r="D33" s="15" t="n">
        <v>40</v>
      </c>
      <c r="E33" s="16" t="n">
        <v>1200</v>
      </c>
      <c r="F33" s="28" t="n">
        <v>1</v>
      </c>
      <c r="G33" s="11"/>
      <c r="H33" s="20"/>
    </row>
    <row r="34" customFormat="false" ht="15" hidden="false" customHeight="false" outlineLevel="0" collapsed="false">
      <c r="B34" s="9" t="n">
        <v>29</v>
      </c>
      <c r="C34" s="9" t="s">
        <v>148</v>
      </c>
      <c r="D34" s="15" t="n">
        <v>18</v>
      </c>
      <c r="E34" s="16" t="n">
        <v>450</v>
      </c>
      <c r="F34" s="28" t="n">
        <v>0</v>
      </c>
      <c r="G34" s="11"/>
      <c r="H34" s="20"/>
    </row>
    <row r="35" customFormat="false" ht="15" hidden="false" customHeight="false" outlineLevel="0" collapsed="false">
      <c r="B35" s="9" t="n">
        <v>30</v>
      </c>
      <c r="C35" s="9" t="s">
        <v>149</v>
      </c>
      <c r="D35" s="15" t="n">
        <v>10</v>
      </c>
      <c r="E35" s="16" t="n">
        <v>300</v>
      </c>
      <c r="F35" s="28" t="n">
        <v>0</v>
      </c>
      <c r="G35" s="11"/>
      <c r="H35" s="20"/>
    </row>
    <row r="36" customFormat="false" ht="15" hidden="false" customHeight="false" outlineLevel="0" collapsed="false">
      <c r="B36" s="9" t="n">
        <v>31</v>
      </c>
      <c r="C36" s="9" t="s">
        <v>150</v>
      </c>
      <c r="D36" s="15" t="n">
        <v>20</v>
      </c>
      <c r="E36" s="16" t="n">
        <v>640</v>
      </c>
      <c r="F36" s="28" t="n">
        <v>1</v>
      </c>
      <c r="G36" s="11"/>
      <c r="H36" s="20"/>
    </row>
    <row r="37" customFormat="false" ht="15" hidden="false" customHeight="false" outlineLevel="0" collapsed="false">
      <c r="B37" s="9" t="n">
        <v>32</v>
      </c>
      <c r="C37" s="9" t="s">
        <v>151</v>
      </c>
      <c r="D37" s="15" t="n">
        <v>9</v>
      </c>
      <c r="E37" s="16" t="n">
        <v>270</v>
      </c>
      <c r="F37" s="28" t="n">
        <v>0</v>
      </c>
      <c r="G37" s="11"/>
      <c r="H37" s="20"/>
    </row>
    <row r="38" customFormat="false" ht="15" hidden="false" customHeight="false" outlineLevel="0" collapsed="false">
      <c r="B38" s="9" t="n">
        <v>33</v>
      </c>
      <c r="C38" s="9" t="s">
        <v>152</v>
      </c>
      <c r="D38" s="15" t="n">
        <v>22</v>
      </c>
      <c r="E38" s="16" t="n">
        <v>770</v>
      </c>
      <c r="F38" s="28" t="n">
        <v>1</v>
      </c>
      <c r="G38" s="11"/>
      <c r="H38" s="20"/>
    </row>
    <row r="39" customFormat="false" ht="15" hidden="false" customHeight="false" outlineLevel="0" collapsed="false">
      <c r="B39" s="9" t="n">
        <v>34</v>
      </c>
      <c r="C39" s="9" t="s">
        <v>153</v>
      </c>
      <c r="D39" s="15" t="n">
        <v>8</v>
      </c>
      <c r="E39" s="16" t="n">
        <v>224</v>
      </c>
      <c r="F39" s="28" t="n">
        <v>0</v>
      </c>
      <c r="G39" s="11"/>
      <c r="H39" s="20"/>
    </row>
    <row r="40" customFormat="false" ht="15" hidden="false" customHeight="false" outlineLevel="0" collapsed="false">
      <c r="B40" s="9" t="n">
        <v>35</v>
      </c>
      <c r="C40" s="9" t="s">
        <v>154</v>
      </c>
      <c r="D40" s="15" t="n">
        <v>30</v>
      </c>
      <c r="E40" s="16" t="n">
        <v>300</v>
      </c>
      <c r="F40" s="28" t="n">
        <v>2</v>
      </c>
      <c r="G40" s="11"/>
      <c r="H40" s="20"/>
    </row>
    <row r="41" customFormat="false" ht="15" hidden="false" customHeight="false" outlineLevel="0" collapsed="false">
      <c r="B41" s="9" t="n">
        <v>36</v>
      </c>
      <c r="C41" s="9" t="s">
        <v>155</v>
      </c>
      <c r="D41" s="15" t="n">
        <v>14</v>
      </c>
      <c r="E41" s="16" t="n">
        <v>420</v>
      </c>
      <c r="F41" s="28" t="n">
        <v>0</v>
      </c>
      <c r="G41" s="11"/>
      <c r="H41" s="20"/>
    </row>
    <row r="42" customFormat="false" ht="15" hidden="false" customHeight="false" outlineLevel="0" collapsed="false">
      <c r="B42" s="9" t="n">
        <v>37</v>
      </c>
      <c r="C42" s="9" t="s">
        <v>156</v>
      </c>
      <c r="D42" s="15" t="n">
        <v>16</v>
      </c>
      <c r="E42" s="16" t="n">
        <v>560</v>
      </c>
      <c r="F42" s="28" t="n">
        <v>0</v>
      </c>
      <c r="G42" s="11"/>
      <c r="H42" s="20"/>
    </row>
    <row r="43" customFormat="false" ht="15" hidden="false" customHeight="false" outlineLevel="0" collapsed="false">
      <c r="B43" s="9" t="n">
        <v>38</v>
      </c>
      <c r="C43" s="9" t="s">
        <v>157</v>
      </c>
      <c r="D43" s="15" t="n">
        <v>20</v>
      </c>
      <c r="E43" s="16" t="n">
        <v>500</v>
      </c>
      <c r="F43" s="28" t="n">
        <v>0</v>
      </c>
      <c r="G43" s="11"/>
      <c r="H43" s="20"/>
    </row>
    <row r="44" customFormat="false" ht="15" hidden="false" customHeight="false" outlineLevel="0" collapsed="false">
      <c r="B44" s="9" t="n">
        <v>39</v>
      </c>
      <c r="C44" s="9" t="s">
        <v>158</v>
      </c>
      <c r="D44" s="15" t="n">
        <v>28</v>
      </c>
      <c r="E44" s="16" t="n">
        <v>840</v>
      </c>
      <c r="F44" s="28" t="n">
        <v>1</v>
      </c>
      <c r="G44" s="11"/>
      <c r="H44" s="20"/>
    </row>
    <row r="45" customFormat="false" ht="15" hidden="false" customHeight="false" outlineLevel="0" collapsed="false">
      <c r="B45" s="9" t="n">
        <v>40</v>
      </c>
      <c r="C45" s="9" t="s">
        <v>159</v>
      </c>
      <c r="D45" s="15" t="n">
        <v>12</v>
      </c>
      <c r="E45" s="16" t="n">
        <v>300</v>
      </c>
      <c r="F45" s="28" t="n">
        <v>0</v>
      </c>
      <c r="G45" s="11"/>
      <c r="H45" s="20"/>
    </row>
    <row r="46" customFormat="false" ht="15" hidden="false" customHeight="false" outlineLevel="0" collapsed="false">
      <c r="B46" s="24" t="s">
        <v>160</v>
      </c>
    </row>
    <row r="48" customFormat="false" ht="15" hidden="false" customHeight="false" outlineLevel="0" collapsed="false">
      <c r="B48" s="3" t="s">
        <v>161</v>
      </c>
      <c r="C48" s="4"/>
      <c r="D48" s="4"/>
      <c r="E48" s="4"/>
      <c r="F48" s="4"/>
      <c r="G48" s="4"/>
      <c r="H48" s="4"/>
    </row>
    <row r="49" customFormat="false" ht="45" hidden="false" customHeight="true" outlineLevel="0" collapsed="false">
      <c r="B49" s="8" t="s">
        <v>162</v>
      </c>
      <c r="C49" s="8"/>
      <c r="D49" s="8"/>
      <c r="E49" s="8"/>
      <c r="F49" s="8"/>
      <c r="G49" s="20"/>
      <c r="H49" s="20"/>
    </row>
    <row r="50" customFormat="false" ht="45" hidden="false" customHeight="true" outlineLevel="0" collapsed="false">
      <c r="B50" s="8" t="s">
        <v>163</v>
      </c>
      <c r="C50" s="8"/>
      <c r="D50" s="8"/>
      <c r="E50" s="8"/>
      <c r="F50" s="8"/>
      <c r="G50" s="20"/>
      <c r="H50" s="20"/>
    </row>
    <row r="51" customFormat="false" ht="45" hidden="false" customHeight="true" outlineLevel="0" collapsed="false">
      <c r="B51" s="8" t="s">
        <v>164</v>
      </c>
      <c r="C51" s="8"/>
      <c r="D51" s="8"/>
      <c r="E51" s="8"/>
      <c r="F51" s="8"/>
      <c r="G51" s="17"/>
      <c r="H51" s="17"/>
    </row>
    <row r="52" customFormat="false" ht="45" hidden="false" customHeight="true" outlineLevel="0" collapsed="false">
      <c r="B52" s="8" t="s">
        <v>165</v>
      </c>
      <c r="C52" s="8"/>
      <c r="D52" s="8"/>
      <c r="E52" s="8"/>
      <c r="F52" s="8"/>
      <c r="G52" s="25"/>
      <c r="H52" s="25"/>
    </row>
    <row r="53" customFormat="false" ht="45" hidden="false" customHeight="true" outlineLevel="0" collapsed="false">
      <c r="B53" s="8" t="s">
        <v>166</v>
      </c>
      <c r="C53" s="8"/>
      <c r="D53" s="8"/>
      <c r="E53" s="8"/>
      <c r="F53" s="8"/>
      <c r="G53" s="20"/>
      <c r="H53" s="20"/>
    </row>
    <row r="54" customFormat="false" ht="94.5" hidden="false" customHeight="true" outlineLevel="0" collapsed="false">
      <c r="B54" s="8" t="s">
        <v>167</v>
      </c>
      <c r="C54" s="8"/>
      <c r="D54" s="8"/>
      <c r="E54" s="8"/>
      <c r="F54" s="8"/>
      <c r="G54" s="26"/>
      <c r="H54" s="26"/>
      <c r="I54" s="26"/>
      <c r="J54" s="26"/>
    </row>
  </sheetData>
  <mergeCells count="12">
    <mergeCell ref="B49:F49"/>
    <mergeCell ref="G49:H49"/>
    <mergeCell ref="B50:F50"/>
    <mergeCell ref="G50:H50"/>
    <mergeCell ref="B51:F51"/>
    <mergeCell ref="G51:H51"/>
    <mergeCell ref="B52:F52"/>
    <mergeCell ref="G52:H52"/>
    <mergeCell ref="B53:F53"/>
    <mergeCell ref="G53:H53"/>
    <mergeCell ref="B54:F54"/>
    <mergeCell ref="G54:J54"/>
  </mergeCells>
  <dataValidations count="1">
    <dataValidation allowBlank="true" errorStyle="stop" operator="between" showDropDown="false" showErrorMessage="false" showInputMessage="false" sqref="G6:G45" type="list">
      <formula1>"Keep,Negative"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7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10" min="7" style="0" width="12"/>
  </cols>
  <sheetData>
    <row r="1" customFormat="false" ht="17.35" hidden="false" customHeight="false" outlineLevel="0" collapsed="false">
      <c r="B1" s="1" t="s">
        <v>168</v>
      </c>
    </row>
    <row r="2" customFormat="false" ht="15" hidden="false" customHeight="false" outlineLevel="0" collapsed="false">
      <c r="B2" s="2" t="s">
        <v>169</v>
      </c>
    </row>
    <row r="3" customFormat="false" ht="15" hidden="false" customHeight="false" outlineLevel="0" collapsed="false">
      <c r="B3" s="7" t="s">
        <v>170</v>
      </c>
      <c r="C3" s="16" t="n">
        <v>2500</v>
      </c>
      <c r="D3" s="7" t="s">
        <v>171</v>
      </c>
      <c r="E3" s="13" t="n">
        <v>0.3</v>
      </c>
    </row>
    <row r="4" customFormat="false" ht="15" hidden="false" customHeight="false" outlineLevel="0" collapsed="false">
      <c r="B4" s="24" t="s">
        <v>172</v>
      </c>
    </row>
    <row r="6" customFormat="false" ht="45" hidden="false" customHeight="true" outlineLevel="0" collapsed="false">
      <c r="B6" s="6" t="s">
        <v>57</v>
      </c>
      <c r="C6" s="6" t="s">
        <v>173</v>
      </c>
      <c r="D6" s="6" t="s">
        <v>174</v>
      </c>
      <c r="E6" s="6" t="s">
        <v>37</v>
      </c>
      <c r="F6" s="6" t="s">
        <v>175</v>
      </c>
      <c r="G6" s="6" t="s">
        <v>176</v>
      </c>
      <c r="H6" s="6" t="s">
        <v>177</v>
      </c>
      <c r="I6" s="6" t="s">
        <v>178</v>
      </c>
      <c r="J6" s="6" t="s">
        <v>179</v>
      </c>
    </row>
    <row r="7" customFormat="false" ht="15" hidden="false" customHeight="false" outlineLevel="0" collapsed="false">
      <c r="B7" s="7" t="s">
        <v>69</v>
      </c>
      <c r="C7" s="16" t="n">
        <v>31500</v>
      </c>
      <c r="D7" s="28" t="n">
        <v>14</v>
      </c>
      <c r="E7" s="20" t="n">
        <f aca="false">C7/D7</f>
        <v>2250</v>
      </c>
      <c r="F7" s="11" t="str">
        <f aca="false">IF(E7&gt;$C$3,"Above","Within")</f>
        <v>Within</v>
      </c>
      <c r="G7" s="20" t="n">
        <f aca="false">IF(F7="Above",C7*$E$3,0)</f>
        <v>0</v>
      </c>
      <c r="H7" s="20" t="n">
        <f aca="false">IF(F7="Within",$G$14*C7/SUMIF($F$7:$F$13,"Within",$C$7:$C$13),0)</f>
        <v>0</v>
      </c>
      <c r="I7" s="20" t="n">
        <f aca="false">C7-G7+H7</f>
        <v>31500</v>
      </c>
      <c r="J7" s="29" t="n">
        <f aca="false">I7/E7</f>
        <v>14</v>
      </c>
    </row>
    <row r="8" customFormat="false" ht="15" hidden="false" customHeight="false" outlineLevel="0" collapsed="false">
      <c r="B8" s="7" t="s">
        <v>70</v>
      </c>
      <c r="C8" s="16" t="n">
        <v>23100</v>
      </c>
      <c r="D8" s="28" t="n">
        <v>6</v>
      </c>
      <c r="E8" s="20"/>
      <c r="F8" s="11"/>
      <c r="G8" s="20"/>
      <c r="H8" s="20"/>
      <c r="I8" s="20"/>
      <c r="J8" s="29"/>
    </row>
    <row r="9" customFormat="false" ht="15" hidden="false" customHeight="false" outlineLevel="0" collapsed="false">
      <c r="B9" s="7" t="s">
        <v>71</v>
      </c>
      <c r="C9" s="16" t="n">
        <v>9880</v>
      </c>
      <c r="D9" s="28" t="n">
        <v>4</v>
      </c>
      <c r="E9" s="20"/>
      <c r="F9" s="11"/>
      <c r="G9" s="20"/>
      <c r="H9" s="20"/>
      <c r="I9" s="20"/>
      <c r="J9" s="29"/>
    </row>
    <row r="10" customFormat="false" ht="15" hidden="false" customHeight="false" outlineLevel="0" collapsed="false">
      <c r="B10" s="7" t="s">
        <v>72</v>
      </c>
      <c r="C10" s="16" t="n">
        <v>5250</v>
      </c>
      <c r="D10" s="28" t="n">
        <v>3</v>
      </c>
      <c r="E10" s="20"/>
      <c r="F10" s="11"/>
      <c r="G10" s="20"/>
      <c r="H10" s="20"/>
      <c r="I10" s="20"/>
      <c r="J10" s="29"/>
    </row>
    <row r="11" customFormat="false" ht="15" hidden="false" customHeight="false" outlineLevel="0" collapsed="false">
      <c r="B11" s="7" t="s">
        <v>73</v>
      </c>
      <c r="C11" s="16" t="n">
        <v>28000</v>
      </c>
      <c r="D11" s="28" t="n">
        <v>5</v>
      </c>
      <c r="E11" s="20"/>
      <c r="F11" s="11"/>
      <c r="G11" s="20"/>
      <c r="H11" s="20"/>
      <c r="I11" s="20"/>
      <c r="J11" s="29"/>
    </row>
    <row r="12" customFormat="false" ht="15" hidden="false" customHeight="false" outlineLevel="0" collapsed="false">
      <c r="B12" s="7" t="s">
        <v>75</v>
      </c>
      <c r="C12" s="16" t="n">
        <v>11760</v>
      </c>
      <c r="D12" s="28" t="n">
        <v>7</v>
      </c>
      <c r="E12" s="20"/>
      <c r="F12" s="11"/>
      <c r="G12" s="20"/>
      <c r="H12" s="20"/>
      <c r="I12" s="20"/>
      <c r="J12" s="29"/>
    </row>
    <row r="13" customFormat="false" ht="15" hidden="false" customHeight="false" outlineLevel="0" collapsed="false">
      <c r="B13" s="7" t="s">
        <v>76</v>
      </c>
      <c r="C13" s="16" t="n">
        <v>3990</v>
      </c>
      <c r="D13" s="28" t="n">
        <v>1</v>
      </c>
      <c r="E13" s="20"/>
      <c r="F13" s="11"/>
      <c r="G13" s="20"/>
      <c r="H13" s="20"/>
      <c r="I13" s="20"/>
      <c r="J13" s="29"/>
    </row>
    <row r="14" customFormat="false" ht="15" hidden="false" customHeight="false" outlineLevel="0" collapsed="false">
      <c r="B14" s="7" t="s">
        <v>26</v>
      </c>
      <c r="C14" s="23" t="n">
        <f aca="false">SUM(C7:C13)</f>
        <v>113480</v>
      </c>
      <c r="D14" s="30" t="n">
        <f aca="false">SUM(D7:D13)</f>
        <v>40</v>
      </c>
      <c r="E14" s="9"/>
      <c r="F14" s="9"/>
      <c r="G14" s="20"/>
      <c r="H14" s="20"/>
      <c r="I14" s="20"/>
      <c r="J14" s="29"/>
    </row>
    <row r="15" customFormat="false" ht="15" hidden="false" customHeight="false" outlineLevel="0" collapsed="false">
      <c r="B15" s="24" t="s">
        <v>180</v>
      </c>
    </row>
    <row r="17" customFormat="false" ht="15" hidden="false" customHeight="false" outlineLevel="0" collapsed="false">
      <c r="B17" s="3" t="s">
        <v>112</v>
      </c>
      <c r="C17" s="4"/>
      <c r="D17" s="4"/>
      <c r="E17" s="4"/>
      <c r="F17" s="4"/>
      <c r="G17" s="4"/>
      <c r="H17" s="4"/>
      <c r="I17" s="4"/>
      <c r="J17" s="4"/>
    </row>
    <row r="18" customFormat="false" ht="30" hidden="false" customHeight="true" outlineLevel="0" collapsed="false">
      <c r="B18" s="8" t="s">
        <v>181</v>
      </c>
      <c r="C18" s="8"/>
      <c r="D18" s="8"/>
      <c r="E18" s="8"/>
      <c r="F18" s="8"/>
      <c r="G18" s="8"/>
      <c r="H18" s="20"/>
      <c r="I18" s="20"/>
    </row>
    <row r="19" customFormat="false" ht="30" hidden="false" customHeight="true" outlineLevel="0" collapsed="false">
      <c r="B19" s="8" t="s">
        <v>182</v>
      </c>
      <c r="C19" s="8"/>
      <c r="D19" s="8"/>
      <c r="E19" s="8"/>
      <c r="F19" s="8"/>
      <c r="G19" s="8"/>
      <c r="H19" s="29"/>
      <c r="I19" s="29"/>
    </row>
    <row r="20" customFormat="false" ht="30" hidden="false" customHeight="true" outlineLevel="0" collapsed="false">
      <c r="B20" s="8" t="s">
        <v>183</v>
      </c>
      <c r="C20" s="8"/>
      <c r="D20" s="8"/>
      <c r="E20" s="8"/>
      <c r="F20" s="8"/>
      <c r="G20" s="8"/>
      <c r="H20" s="29"/>
      <c r="I20" s="29"/>
    </row>
    <row r="21" customFormat="false" ht="30" hidden="false" customHeight="true" outlineLevel="0" collapsed="false">
      <c r="B21" s="8" t="s">
        <v>184</v>
      </c>
      <c r="C21" s="8"/>
      <c r="D21" s="8"/>
      <c r="E21" s="8"/>
      <c r="F21" s="8"/>
      <c r="G21" s="8"/>
      <c r="H21" s="20"/>
      <c r="I21" s="20"/>
    </row>
    <row r="22" customFormat="false" ht="75" hidden="false" customHeight="true" outlineLevel="0" collapsed="false">
      <c r="B22" s="8" t="s">
        <v>185</v>
      </c>
      <c r="C22" s="8"/>
      <c r="D22" s="8"/>
      <c r="E22" s="8"/>
      <c r="F22" s="8"/>
      <c r="G22" s="8"/>
      <c r="H22" s="26"/>
      <c r="I22" s="26"/>
      <c r="J22" s="26"/>
      <c r="K22" s="26"/>
    </row>
  </sheetData>
  <mergeCells count="10">
    <mergeCell ref="B18:G18"/>
    <mergeCell ref="H18:I18"/>
    <mergeCell ref="B19:G19"/>
    <mergeCell ref="H19:I19"/>
    <mergeCell ref="B20:G20"/>
    <mergeCell ref="H20:I20"/>
    <mergeCell ref="B21:G21"/>
    <mergeCell ref="H21:I21"/>
    <mergeCell ref="B22:G22"/>
    <mergeCell ref="H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6"/>
    <col collapsed="false" customWidth="true" hidden="false" outlineLevel="0" max="4" min="4" style="0" width="38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8" min="7" style="0" width="10"/>
  </cols>
  <sheetData>
    <row r="1" customFormat="false" ht="17.35" hidden="false" customHeight="false" outlineLevel="0" collapsed="false">
      <c r="B1" s="1" t="s">
        <v>186</v>
      </c>
    </row>
    <row r="2" customFormat="false" ht="15" hidden="false" customHeight="false" outlineLevel="0" collapsed="false">
      <c r="B2" s="2" t="s">
        <v>187</v>
      </c>
    </row>
    <row r="4" customFormat="false" ht="94.5" hidden="false" customHeight="true" outlineLevel="0" collapsed="false">
      <c r="B4" s="31" t="s">
        <v>188</v>
      </c>
      <c r="C4" s="31"/>
      <c r="D4" s="26"/>
      <c r="E4" s="26"/>
      <c r="F4" s="26"/>
      <c r="G4" s="26"/>
      <c r="H4" s="26"/>
    </row>
    <row r="6" customFormat="false" ht="23.85" hidden="false" customHeight="false" outlineLevel="0" collapsed="false">
      <c r="B6" s="6" t="s">
        <v>122</v>
      </c>
      <c r="C6" s="6" t="s">
        <v>189</v>
      </c>
      <c r="D6" s="6" t="s">
        <v>190</v>
      </c>
      <c r="E6" s="6" t="s">
        <v>191</v>
      </c>
      <c r="F6" s="6" t="s">
        <v>192</v>
      </c>
      <c r="G6" s="6" t="s">
        <v>193</v>
      </c>
      <c r="H6" s="6" t="s">
        <v>194</v>
      </c>
    </row>
    <row r="7" customFormat="false" ht="69.75" hidden="false" customHeight="true" outlineLevel="0" collapsed="false">
      <c r="B7" s="7" t="n">
        <v>1</v>
      </c>
      <c r="C7" s="26"/>
      <c r="D7" s="26"/>
      <c r="E7" s="26"/>
      <c r="F7" s="26"/>
      <c r="G7" s="26"/>
      <c r="H7" s="26"/>
    </row>
    <row r="8" customFormat="false" ht="69.75" hidden="false" customHeight="true" outlineLevel="0" collapsed="false">
      <c r="B8" s="7" t="n">
        <v>2</v>
      </c>
      <c r="C8" s="26"/>
      <c r="D8" s="26"/>
      <c r="E8" s="26"/>
      <c r="F8" s="26"/>
      <c r="G8" s="26"/>
      <c r="H8" s="26"/>
    </row>
    <row r="9" customFormat="false" ht="69.75" hidden="false" customHeight="true" outlineLevel="0" collapsed="false">
      <c r="B9" s="7" t="n">
        <v>3</v>
      </c>
      <c r="C9" s="26"/>
      <c r="D9" s="26"/>
      <c r="E9" s="26"/>
      <c r="F9" s="26"/>
      <c r="G9" s="26"/>
      <c r="H9" s="26"/>
    </row>
    <row r="11" customFormat="false" ht="15" hidden="false" customHeight="false" outlineLevel="0" collapsed="false">
      <c r="B11" s="24" t="s">
        <v>195</v>
      </c>
    </row>
  </sheetData>
  <mergeCells count="2">
    <mergeCell ref="B4:C4"/>
    <mergeCell ref="D4:H4"/>
  </mergeCells>
  <dataValidations count="1">
    <dataValidation allowBlank="true" errorStyle="stop" operator="between" showDropDown="false" showErrorMessage="false" showInputMessage="false" sqref="G7:G9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2026-10-10T18:53:30Z</dcterms:created>
  <dc:creator>openpyxl</dc:creator>
  <dc:description/>
  <dc:language>en-US</dc:language>
  <cp:lastModifiedBy/>
  <dcterms:modified xsi:type="dcterms:W3CDTF">2026-10-10T18:53:30Z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