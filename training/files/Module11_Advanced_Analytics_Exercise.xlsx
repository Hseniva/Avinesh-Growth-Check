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GA4_Export" sheetId="2" state="visible" r:id="rId4"/>
    <sheet name="2_Attribution" sheetId="3" state="visible" r:id="rId5"/>
    <sheet name="3_Funnel" sheetId="4" state="visible" r:id="rId6"/>
    <sheet name="4_Cohorts" sheetId="5" state="visible" r:id="rId7"/>
    <sheet name="5_Dashboard_Spe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<sst xmlns="http://schemas.openxmlformats.org/spreadsheetml/2006/main" count="240" uniqueCount="166">
  <si>
    <t xml:space="preserve">Week 11 Excel exercise: Advanced Analytics &amp; Data</t>
  </si>
  <si>
    <t xml:space="preserve">Lakaz Gato, cake shop in Rose Hill, Mauritius (fictional data, September 2026). Digital Marketing &amp; AI, Oreegami Mauritius</t>
  </si>
  <si>
    <t xml:space="preserve">How to complete it</t>
  </si>
  <si>
    <t xml:space="preserve">1. Work through the 5 tabs in order. Each tab starts with a short brief.</t>
  </si>
  <si>
    <t xml:space="preserve">2. Type your answers in the YELLOW cells only. Do not change the data cells.</t>
  </si>
  <si>
    <t xml:space="preserve">3. Use Excel formulas wherever you calculate something (e.g. =E6/D6). Your trainer checks the formulas, not just the numbers.</t>
  </si>
  <si>
    <t xml:space="preserve">4. In each calculation table the first row is done for you as a worked example. Copy the formulas down.</t>
  </si>
  <si>
    <t xml:space="preserve">5. Tab 1 also needs a pivot table: insert it in a new sheet called "Pivot" (Insert → PivotTable).</t>
  </si>
  <si>
    <t xml:space="preserve">6. Formulas you will need: SUM, SUMIF, COUNTIF, AVERAGE, INDEX/MATCH, MAX, MIN, IF, IFERROR. Section numbers refer to the Week 11 guide.</t>
  </si>
  <si>
    <t xml:space="preserve">7. Save the file as Week11_YourName.xlsx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</si>
  <si>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</si>
  <si>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</si>
  <si>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</si>
  <si>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</si>
  <si>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1_GA4_Export</t>
  </si>
  <si>
    <t xml:space="preserve">GA4 export by channel and landing page: engagement rate, key event rate, revenue per session, channel summary and a pivot table (Sections 3, 12, 23)</t>
  </si>
  <si>
    <t xml:space="preserve">2_Attribution</t>
  </si>
  <si>
    <t xml:space="preserve">Same orders under last click and data-driven: which channels gain or lose credit, cost per order (Sections 18–20)</t>
  </si>
  <si>
    <t xml:space="preserve">3_Funnel</t>
  </si>
  <si>
    <t xml:space="preserve">Checkout funnel by device: step rates, drop-off and opportunity sizing in rupees (Section 13)</t>
  </si>
  <si>
    <t xml:space="preserve">4_Cohorts</t>
  </si>
  <si>
    <t xml:space="preserve">Weekly cohort retention table (Section 15)</t>
  </si>
  <si>
    <t xml:space="preserve">5_Dashboard_Spec</t>
  </si>
  <si>
    <t xml:space="preserve">Specify your Analytics Report: 5 KPIs, charts, comparisons and filters (Sections 24–25)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</si>
  <si>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</si>
  <si>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</si>
  <si>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</si>
  <si>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</si>
  <si>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Tab 1: GA4 export, September 2026 (Session default channel group × Landing page)</t>
  </si>
  <si>
    <t xml:space="preserve">Exported from a free form exploration. "Sessions with key event" = sessions with at least one purchase or whatsapp_click. Revenue in Rs.</t>
  </si>
  <si>
    <t xml:space="preserve">Channel</t>
  </si>
  <si>
    <t xml:space="preserve">Landing page</t>
  </si>
  <si>
    <t xml:space="preserve">Sessions</t>
  </si>
  <si>
    <t xml:space="preserve">Engaged sessions</t>
  </si>
  <si>
    <t xml:space="preserve">Sessions with key event</t>
  </si>
  <si>
    <t xml:space="preserve">Purchases</t>
  </si>
  <si>
    <t xml:space="preserve">Revenue (Rs)</t>
  </si>
  <si>
    <t xml:space="preserve">Engagement rate</t>
  </si>
  <si>
    <t xml:space="preserve">Session key event rate</t>
  </si>
  <si>
    <t xml:space="preserve">Revenue per session (Rs)</t>
  </si>
  <si>
    <t xml:space="preserve">Organic Search</t>
  </si>
  <si>
    <t xml:space="preserve">/</t>
  </si>
  <si>
    <t xml:space="preserve">/cakes/birthday</t>
  </si>
  <si>
    <t xml:space="preserve">/cakes/wedding</t>
  </si>
  <si>
    <t xml:space="preserve">Paid Social</t>
  </si>
  <si>
    <t xml:space="preserve">Organic Social</t>
  </si>
  <si>
    <t xml:space="preserve">Email</t>
  </si>
  <si>
    <t xml:space="preserve">Direct</t>
  </si>
  <si>
    <t xml:space="preserve">Paid Search</t>
  </si>
  <si>
    <t xml:space="preserve">AI Assistant</t>
  </si>
  <si>
    <t xml:space="preserve">Row 5 is done for you. Copy columns I–K down to row 25, then complete the Total row from the totals (not by averaging the rates).</t>
  </si>
  <si>
    <t xml:space="preserve">Channel summary (use SUMIF on the table above, then calculate the rates from the sums)</t>
  </si>
  <si>
    <t xml:space="preserve">Share of revenue</t>
  </si>
  <si>
    <t xml:space="preserve">Organic Search is done for you. Check: the Sessions column must add up to the Total row above.</t>
  </si>
  <si>
    <t xml:space="preserve">Questions</t>
  </si>
  <si>
    <t xml:space="preserve">Q1. Which channel has the highest revenue per session? (INDEX/MATCH on the channel summary)</t>
  </si>
  <si>
    <t xml:space="preserve">Q2. Which channel has the lowest engagement rate?</t>
  </si>
  <si>
    <t xml:space="preserve">Q3. Which channel brings the most sessions?</t>
  </si>
  <si>
    <t xml:space="preserve">Q4. How many of the 21 rows have a session key event rate below the site average (Total row)?</t>
  </si>
  <si>
    <t xml:space="preserve">Q5. Revenue per session of Paid Social on /cakes/birthday divided by Organic Search on /cakes/birthday (as %)</t>
  </si>
  <si>
    <t xml:space="preserve">Q6. Pivot table: in a new sheet "Pivot", build a pivot with Landing page in Rows, Channel in Columns and Sum of Revenue in Values. In 2–3 sentences: which landing page earns most, and what do you notice about /cakes/wedding?</t>
  </si>
  <si>
    <t xml:space="preserve">Q7. Paid Social brings many sessions but a low engagement rate. In 2–3 sentences, give two hypotheses and the exploration or report you would use to test each (Sections 1, 12–13).</t>
  </si>
  <si>
    <t xml:space="preserve">Tab 2: Attribution comparison for the key event "purchase", September 2026</t>
  </si>
  <si>
    <t xml:space="preserve">Advertising → Attribution → Model comparison. Same 200 orders, credit shared two ways. Data-driven gives fractions of orders. Cost = ad spend in Rs.</t>
  </si>
  <si>
    <t xml:space="preserve">Orders: paid and organic last click</t>
  </si>
  <si>
    <t xml:space="preserve">Revenue: last click (Rs)</t>
  </si>
  <si>
    <t xml:space="preserve">Orders: data-driven</t>
  </si>
  <si>
    <t xml:space="preserve">Revenue: data-driven (Rs)</t>
  </si>
  <si>
    <t xml:space="preserve">Ad cost (Rs)</t>
  </si>
  <si>
    <t xml:space="preserve">Early touchpoint share of paths</t>
  </si>
  <si>
    <t xml:space="preserve">Change in orders (DDA − LC)</t>
  </si>
  <si>
    <t xml:space="preserve">% change in orders</t>
  </si>
  <si>
    <t xml:space="preserve">Share of orders: LC</t>
  </si>
  <si>
    <t xml:space="preserve">Share of orders: DDA</t>
  </si>
  <si>
    <t xml:space="preserve">Cost per order: LC (Rs)</t>
  </si>
  <si>
    <t xml:space="preserve">Cost per order: DDA (Rs)</t>
  </si>
  <si>
    <t xml:space="preserve">Referral</t>
  </si>
  <si>
    <t xml:space="preserve">Row 5 (Organic Search) is done for you. Copy columns I–N down. Cost per order is only calculated for channels with ad cost (IF).</t>
  </si>
  <si>
    <t xml:space="preserve">Q1. Which channel gains the most credit (highest % change) under data-driven?</t>
  </si>
  <si>
    <t xml:space="preserve">Q2. Which channel loses the most credit (lowest % change)?</t>
  </si>
  <si>
    <t xml:space="preserve">Q3. Check: total orders under data-driven minus total under last click (should be 0)</t>
  </si>
  <si>
    <t xml:space="preserve">Q4. How many channels gain credit under data-driven? (COUNTIF &gt; 0)</t>
  </si>
  <si>
    <t xml:space="preserve">Q5. Paid Social cost per order: difference between last click and data-driven (Rs)</t>
  </si>
  <si>
    <t xml:space="preserve">Q6. The owner wants to cut Paid Social because "it only brings 19 orders at Rs 2,000 each". In 3–4 sentences, write your recommendation using Tab 2 (gain under DDA, early touchpoints, cost per order) and say what test you would run (Section 20).</t>
  </si>
  <si>
    <t xml:space="preserve">Tab 3: Checkout funnel by device, September 2026</t>
  </si>
  <si>
    <t xml:space="preserve">Funnel exploration, open funnel, users per step. Average order value (AOV) in C13.</t>
  </si>
  <si>
    <t xml:space="preserve">Step</t>
  </si>
  <si>
    <t xml:space="preserve">Event</t>
  </si>
  <si>
    <t xml:space="preserve">Mobile users</t>
  </si>
  <si>
    <t xml:space="preserve">Desktop users</t>
  </si>
  <si>
    <t xml:space="preserve">Mobile: step rate (vs previous step)</t>
  </si>
  <si>
    <t xml:space="preserve">Desktop: step rate</t>
  </si>
  <si>
    <t xml:space="preserve">Mobile: overall rate (vs step 1)</t>
  </si>
  <si>
    <t xml:space="preserve">Mobile: users lost at this step</t>
  </si>
  <si>
    <t xml:space="preserve">Gap mobile − desktop (pts)</t>
  </si>
  <si>
    <t xml:space="preserve">1</t>
  </si>
  <si>
    <t xml:space="preserve">session_start</t>
  </si>
  <si>
    <t xml:space="preserve">–</t>
  </si>
  <si>
    <t xml:space="preserve">2</t>
  </si>
  <si>
    <t xml:space="preserve">view_item</t>
  </si>
  <si>
    <t xml:space="preserve">3</t>
  </si>
  <si>
    <t xml:space="preserve">add_to_cart</t>
  </si>
  <si>
    <t xml:space="preserve">4</t>
  </si>
  <si>
    <t xml:space="preserve">begin_checkout</t>
  </si>
  <si>
    <t xml:space="preserve">5</t>
  </si>
  <si>
    <t xml:space="preserve">purchase</t>
  </si>
  <si>
    <t xml:space="preserve">Row 6 (view_item) is done for you. Copy the formulas down to row 9 (purchase).</t>
  </si>
  <si>
    <t xml:space="preserve">Average order value (Rs)</t>
  </si>
  <si>
    <t xml:space="preserve">Opportunity sizing (Section 13)</t>
  </si>
  <si>
    <t xml:space="preserve">Q1. Mobile step with the biggest gap to desktop (most negative gap): return the event name</t>
  </si>
  <si>
    <t xml:space="preserve">Q2. Mobile overall conversion rate (purchase ÷ session_start)</t>
  </si>
  <si>
    <t xml:space="preserve">Q3. Extra mobile purchases per month if begin_checkout → purchase reached the desktop rate: begin_checkout users × (desktop rate − mobile rate)</t>
  </si>
  <si>
    <t xml:space="preserve">Q4. Extra revenue per month from Q3 (Rs)</t>
  </si>
  <si>
    <t xml:space="preserve">Q5. Extra revenue per month if mobile add_to_cart rate (step 3) reached the desktop rate, all later mobile rates unchanged (Rs): view_item users × (desktop − mobile rate) × mobile rate step 4 × mobile rate step 5 × AOV</t>
  </si>
  <si>
    <t xml:space="preserve">Q6. Which fix would you prioritise and why? In 2–3 sentences, name two things to check on the mobile payment/delivery step and how you would measure the result.</t>
  </si>
  <si>
    <t xml:space="preserve">Tab 4: Weekly cohort retention (first visit), August–September 2026</t>
  </si>
  <si>
    <t xml:space="preserve">Cohort exploration, inclusion: first touch, return: any event, weekly granularity. Data ends 27 September, so recent cohorts have fewer weeks.</t>
  </si>
  <si>
    <t xml:space="preserve">Cohort (first visit week)</t>
  </si>
  <si>
    <t xml:space="preserve">Main campaign that week</t>
  </si>
  <si>
    <t xml:space="preserve">New users (week 0)</t>
  </si>
  <si>
    <t xml:space="preserve">Returning wk 1</t>
  </si>
  <si>
    <t xml:space="preserve">Returning wk 2</t>
  </si>
  <si>
    <t xml:space="preserve">Returning wk 3</t>
  </si>
  <si>
    <t xml:space="preserve">Returning wk 4</t>
  </si>
  <si>
    <t xml:space="preserve">Retention wk 1</t>
  </si>
  <si>
    <t xml:space="preserve">Retention wk 2</t>
  </si>
  <si>
    <t xml:space="preserve">Retention wk 3</t>
  </si>
  <si>
    <t xml:space="preserve">Retention wk 4</t>
  </si>
  <si>
    <t xml:space="preserve">3–9 Aug</t>
  </si>
  <si>
    <t xml:space="preserve">Normal week</t>
  </si>
  <si>
    <t xml:space="preserve">10–16 Aug</t>
  </si>
  <si>
    <t xml:space="preserve">17–23 Aug</t>
  </si>
  <si>
    <t xml:space="preserve">Instagram giveaway</t>
  </si>
  <si>
    <t xml:space="preserve">24–30 Aug</t>
  </si>
  <si>
    <t xml:space="preserve">31 Aug–6 Sep</t>
  </si>
  <si>
    <t xml:space="preserve">Newsletter launch</t>
  </si>
  <si>
    <t xml:space="preserve">7–13 Sep</t>
  </si>
  <si>
    <t xml:space="preserve">14–20 Sep</t>
  </si>
  <si>
    <t xml:space="preserve">Recipe video series</t>
  </si>
  <si>
    <t xml:space="preserve">Row 5 is done for you. Copy columns I–L down to row 11. The IF formula leaves a blank when the week has not happened yet.</t>
  </si>
  <si>
    <t xml:space="preserve">Q1. Average week-1 retention of all cohorts (AVERAGE of column I)</t>
  </si>
  <si>
    <t xml:space="preserve">Q2. Cohort with the best week-1 retention</t>
  </si>
  <si>
    <t xml:space="preserve">Q3. Cohort with the worst week-1 retention</t>
  </si>
  <si>
    <t xml:space="preserve">Q4. How many returning users in week 4 did the 17–23 Aug cohort keep, compared with the 10–16 Aug cohort? (difference in users)</t>
  </si>
  <si>
    <t xml:space="preserve">Q5. The giveaway week brought the biggest cohort. In 2–3 sentences, explain what the cohort table shows and what you would recommend for future campaigns.</t>
  </si>
  <si>
    <t xml:space="preserve">Tab 5: Specify your Analytics Report (Data Studio)</t>
  </si>
  <si>
    <t xml:space="preserve">For Lakaz Gato or the business you use for your deliverable. One row per KPI. See the example row.</t>
  </si>
  <si>
    <t xml:space="preserve">Business and audience of the dashboard</t>
  </si>
  <si>
    <t xml:space="preserve">Main business question it answers</t>
  </si>
  <si>
    <t xml:space="preserve">#</t>
  </si>
  <si>
    <t xml:space="preserve">KPI and the question it answers</t>
  </si>
  <si>
    <t xml:space="preserve">GA4 field or calculated field formula</t>
  </si>
  <si>
    <t xml:space="preserve">Chart type</t>
  </si>
  <si>
    <t xml:space="preserve">Comparison / target</t>
  </si>
  <si>
    <t xml:space="preserve">Filter or control</t>
  </si>
  <si>
    <t xml:space="preserve">Page of the report</t>
  </si>
  <si>
    <t xml:space="preserve">e.g.</t>
  </si>
  <si>
    <t xml:space="preserve">Session key event rate: are visits turning into orders?</t>
  </si>
  <si>
    <t xml:space="preserve">Session key event rate (or Key events / Sessions)</t>
  </si>
  <si>
    <t xml:space="preserve">Scorecard</t>
  </si>
  <si>
    <t xml:space="preserve">vs previous period; target 3%</t>
  </si>
  <si>
    <t xml:space="preserve">Date range + Device drop-down</t>
  </si>
  <si>
    <t xml:space="preserve">1 · Overview</t>
  </si>
  <si>
    <t xml:space="preserve">Include at least one calculated field and one control other than the date range (Sections 23–25).</t>
  </si>
  <si>
    <t xml:space="preserve">Q1. How will you show the attribution analysis in the report (which models, which key event, which chart)?</t>
  </si>
  <si>
    <t xml:space="preserve">Q2. What will you write in the "Data notes" box (Section 27)? List at least three items.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</si>
</sst>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.0"/>
    <numFmt numFmtId="168" formatCode="0"/>
    <numFmt numFmtId="169" formatCode="0.0"/>
    <numFmt numFmtId="170" formatCode="\+0.0;\-0.0;0.0"/>
    <numFmt numFmtId="171" formatCode="\+0.0%;\-0.0%;0.0%"/>
    <numFmt numFmtId="172" formatCode="0.00%"/>
    <numFmt numFmtId="173" formatCode="\+0;\-0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84"/>
    <col collapsed="false" customWidth="true" hidden="false" outlineLevel="0" max="4" min="4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1" customFormat="false" ht="15" hidden="false" customHeight="false" outlineLevel="0" collapsed="false">
      <c r="B11" s="5" t="s">
        <v>9</v>
      </c>
    </row>
    <row r="13" customFormat="false" ht="15" hidden="false" customHeight="false" outlineLevel="0" collapsed="false">
      <c r="B13" s="3" t="s">
        <v>10</v>
      </c>
      <c r="C13" s="4"/>
      <c r="D13" s="4"/>
      <c r="E13" s="4"/>
    </row>
    <row r="14" customFormat="false" ht="15" hidden="false" customHeight="false" outlineLevel="0" collapsed="false">
      <c r="B14" s="6" t="s">
        <v>11</v>
      </c>
      <c r="C14" s="6" t="s">
        <v>12</v>
      </c>
      <c r="D14" s="6" t="s">
        <v>13</v>
      </c>
    </row>
    <row r="15" customFormat="false" ht="30" hidden="false" customHeight="true" outlineLevel="0" collapsed="false">
      <c r="B15" s="7" t="s">
        <v>14</v>
      </c>
      <c r="C15" s="8" t="s">
        <v>15</v>
      </c>
      <c r="D15" s="9" t="n">
        <v>6</v>
      </c>
    </row>
    <row r="16" customFormat="false" ht="30" hidden="false" customHeight="true" outlineLevel="0" collapsed="false">
      <c r="B16" s="7" t="s">
        <v>16</v>
      </c>
      <c r="C16" s="8" t="s">
        <v>17</v>
      </c>
      <c r="D16" s="9" t="n">
        <v>4</v>
      </c>
    </row>
    <row r="17" customFormat="false" ht="30" hidden="false" customHeight="true" outlineLevel="0" collapsed="false">
      <c r="B17" s="7" t="s">
        <v>18</v>
      </c>
      <c r="C17" s="8" t="s">
        <v>19</v>
      </c>
      <c r="D17" s="9" t="n">
        <v>4</v>
      </c>
    </row>
    <row r="18" customFormat="false" ht="30" hidden="false" customHeight="true" outlineLevel="0" collapsed="false">
      <c r="B18" s="7" t="s">
        <v>20</v>
      </c>
      <c r="C18" s="8" t="s">
        <v>21</v>
      </c>
      <c r="D18" s="9" t="n">
        <v>3</v>
      </c>
    </row>
    <row r="19" customFormat="false" ht="30" hidden="false" customHeight="true" outlineLevel="0" collapsed="false">
      <c r="B19" s="7" t="s">
        <v>22</v>
      </c>
      <c r="C19" s="8" t="s">
        <v>23</v>
      </c>
      <c r="D19" s="9" t="n">
        <v>3</v>
      </c>
    </row>
    <row r="20" customFormat="false" ht="15" hidden="false" customHeight="false" outlineLevel="0" collapsed="false">
      <c r="B20" s="7" t="s">
        <v>24</v>
      </c>
      <c r="D20" s="7" t="n">
        <f aca="false">SUM(D15:D19)</f>
        <v>20</v>
      </c>
    </row>
    <row r="22" customFormat="false" ht="15" hidden="false" customHeight="false" outlineLevel="0" collapsed="false">
      <c r="B22" s="10" t="s">
        <v>25</v>
      </c>
      <c r="C22" s="11" t="s">
        <v>26</v>
      </c>
      <c r="D22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10" min="8" style="0" width="13"/>
    <col collapsed="false" customWidth="true" hidden="false" outlineLevel="0" max="11" min="11" style="0" width="14"/>
  </cols>
  <sheetData>
    <row r="1" customFormat="false" ht="17.3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45" hidden="false" customHeight="true" outlineLevel="0" collapsed="false"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</row>
    <row r="5" customFormat="false" ht="15" hidden="false" customHeight="false" outlineLevel="0" collapsed="false">
      <c r="B5" s="9" t="s">
        <v>40</v>
      </c>
      <c r="C5" s="9" t="s">
        <v>41</v>
      </c>
      <c r="D5" s="13" t="n">
        <v>1480</v>
      </c>
      <c r="E5" s="13" t="n">
        <v>952</v>
      </c>
      <c r="F5" s="13" t="n">
        <v>61</v>
      </c>
      <c r="G5" s="13" t="n">
        <v>38</v>
      </c>
      <c r="H5" s="13" t="n">
        <v>89300</v>
      </c>
      <c r="I5" s="14" t="n">
        <f aca="false">E5/D5</f>
        <v>0.643243243243243</v>
      </c>
      <c r="J5" s="14" t="n">
        <f aca="false">F5/D5</f>
        <v>0.0412162162162162</v>
      </c>
      <c r="K5" s="15" t="n">
        <f aca="false">H5/D5</f>
        <v>60.3378378378378</v>
      </c>
    </row>
    <row r="6" customFormat="false" ht="15" hidden="false" customHeight="false" outlineLevel="0" collapsed="false">
      <c r="B6" s="9" t="s">
        <v>40</v>
      </c>
      <c r="C6" s="9" t="s">
        <v>42</v>
      </c>
      <c r="D6" s="13" t="n">
        <v>1820</v>
      </c>
      <c r="E6" s="13" t="n">
        <v>1290</v>
      </c>
      <c r="F6" s="13" t="n">
        <v>98</v>
      </c>
      <c r="G6" s="13" t="n">
        <v>64</v>
      </c>
      <c r="H6" s="13" t="n">
        <v>147200</v>
      </c>
      <c r="I6" s="14"/>
      <c r="J6" s="14"/>
      <c r="K6" s="15"/>
    </row>
    <row r="7" customFormat="false" ht="15" hidden="false" customHeight="false" outlineLevel="0" collapsed="false">
      <c r="B7" s="9" t="s">
        <v>40</v>
      </c>
      <c r="C7" s="9" t="s">
        <v>43</v>
      </c>
      <c r="D7" s="13" t="n">
        <v>540</v>
      </c>
      <c r="E7" s="13" t="n">
        <v>401</v>
      </c>
      <c r="F7" s="13" t="n">
        <v>31</v>
      </c>
      <c r="G7" s="13" t="n">
        <v>6</v>
      </c>
      <c r="H7" s="13" t="n">
        <v>52800</v>
      </c>
      <c r="I7" s="14"/>
      <c r="J7" s="14"/>
      <c r="K7" s="15"/>
    </row>
    <row r="8" customFormat="false" ht="15" hidden="false" customHeight="false" outlineLevel="0" collapsed="false">
      <c r="B8" s="9" t="s">
        <v>44</v>
      </c>
      <c r="C8" s="9" t="s">
        <v>41</v>
      </c>
      <c r="D8" s="13" t="n">
        <v>690</v>
      </c>
      <c r="E8" s="13" t="n">
        <v>262</v>
      </c>
      <c r="F8" s="13" t="n">
        <v>9</v>
      </c>
      <c r="G8" s="13" t="n">
        <v>4</v>
      </c>
      <c r="H8" s="13" t="n">
        <v>8800</v>
      </c>
      <c r="I8" s="14"/>
      <c r="J8" s="14"/>
      <c r="K8" s="15"/>
    </row>
    <row r="9" customFormat="false" ht="15" hidden="false" customHeight="false" outlineLevel="0" collapsed="false">
      <c r="B9" s="9" t="s">
        <v>44</v>
      </c>
      <c r="C9" s="9" t="s">
        <v>42</v>
      </c>
      <c r="D9" s="13" t="n">
        <v>1930</v>
      </c>
      <c r="E9" s="13" t="n">
        <v>830</v>
      </c>
      <c r="F9" s="13" t="n">
        <v>52</v>
      </c>
      <c r="G9" s="13" t="n">
        <v>21</v>
      </c>
      <c r="H9" s="13" t="n">
        <v>46200</v>
      </c>
      <c r="I9" s="14"/>
      <c r="J9" s="14"/>
      <c r="K9" s="15"/>
    </row>
    <row r="10" customFormat="false" ht="15" hidden="false" customHeight="false" outlineLevel="0" collapsed="false">
      <c r="B10" s="9" t="s">
        <v>44</v>
      </c>
      <c r="C10" s="9" t="s">
        <v>43</v>
      </c>
      <c r="D10" s="13" t="n">
        <v>410</v>
      </c>
      <c r="E10" s="13" t="n">
        <v>189</v>
      </c>
      <c r="F10" s="13" t="n">
        <v>14</v>
      </c>
      <c r="G10" s="13" t="n">
        <v>2</v>
      </c>
      <c r="H10" s="13" t="n">
        <v>19600</v>
      </c>
      <c r="I10" s="14"/>
      <c r="J10" s="14"/>
      <c r="K10" s="15"/>
    </row>
    <row r="11" customFormat="false" ht="15" hidden="false" customHeight="false" outlineLevel="0" collapsed="false">
      <c r="B11" s="9" t="s">
        <v>45</v>
      </c>
      <c r="C11" s="9" t="s">
        <v>41</v>
      </c>
      <c r="D11" s="13" t="n">
        <v>520</v>
      </c>
      <c r="E11" s="13" t="n">
        <v>281</v>
      </c>
      <c r="F11" s="13" t="n">
        <v>12</v>
      </c>
      <c r="G11" s="13" t="n">
        <v>5</v>
      </c>
      <c r="H11" s="13" t="n">
        <v>11500</v>
      </c>
      <c r="I11" s="14"/>
      <c r="J11" s="14"/>
      <c r="K11" s="15"/>
    </row>
    <row r="12" customFormat="false" ht="15" hidden="false" customHeight="false" outlineLevel="0" collapsed="false">
      <c r="B12" s="9" t="s">
        <v>45</v>
      </c>
      <c r="C12" s="9" t="s">
        <v>42</v>
      </c>
      <c r="D12" s="13" t="n">
        <v>760</v>
      </c>
      <c r="E12" s="13" t="n">
        <v>456</v>
      </c>
      <c r="F12" s="13" t="n">
        <v>29</v>
      </c>
      <c r="G12" s="13" t="n">
        <v>12</v>
      </c>
      <c r="H12" s="13" t="n">
        <v>27600</v>
      </c>
      <c r="I12" s="14"/>
      <c r="J12" s="14"/>
      <c r="K12" s="15"/>
    </row>
    <row r="13" customFormat="false" ht="15" hidden="false" customHeight="false" outlineLevel="0" collapsed="false">
      <c r="B13" s="9" t="s">
        <v>45</v>
      </c>
      <c r="C13" s="9" t="s">
        <v>43</v>
      </c>
      <c r="D13" s="13" t="n">
        <v>180</v>
      </c>
      <c r="E13" s="13" t="n">
        <v>112</v>
      </c>
      <c r="F13" s="13" t="n">
        <v>8</v>
      </c>
      <c r="G13" s="13" t="n">
        <v>1</v>
      </c>
      <c r="H13" s="13" t="n">
        <v>9400</v>
      </c>
      <c r="I13" s="14"/>
      <c r="J13" s="14"/>
      <c r="K13" s="15"/>
    </row>
    <row r="14" customFormat="false" ht="15" hidden="false" customHeight="false" outlineLevel="0" collapsed="false">
      <c r="B14" s="9" t="s">
        <v>46</v>
      </c>
      <c r="C14" s="9" t="s">
        <v>41</v>
      </c>
      <c r="D14" s="13" t="n">
        <v>210</v>
      </c>
      <c r="E14" s="13" t="n">
        <v>168</v>
      </c>
      <c r="F14" s="13" t="n">
        <v>17</v>
      </c>
      <c r="G14" s="13" t="n">
        <v>11</v>
      </c>
      <c r="H14" s="13" t="n">
        <v>26400</v>
      </c>
      <c r="I14" s="14"/>
      <c r="J14" s="14"/>
      <c r="K14" s="15"/>
    </row>
    <row r="15" customFormat="false" ht="15" hidden="false" customHeight="false" outlineLevel="0" collapsed="false">
      <c r="B15" s="9" t="s">
        <v>46</v>
      </c>
      <c r="C15" s="9" t="s">
        <v>42</v>
      </c>
      <c r="D15" s="13" t="n">
        <v>640</v>
      </c>
      <c r="E15" s="13" t="n">
        <v>518</v>
      </c>
      <c r="F15" s="13" t="n">
        <v>66</v>
      </c>
      <c r="G15" s="13" t="n">
        <v>41</v>
      </c>
      <c r="H15" s="13" t="n">
        <v>98400</v>
      </c>
      <c r="I15" s="14"/>
      <c r="J15" s="14"/>
      <c r="K15" s="15"/>
    </row>
    <row r="16" customFormat="false" ht="15" hidden="false" customHeight="false" outlineLevel="0" collapsed="false">
      <c r="B16" s="9" t="s">
        <v>46</v>
      </c>
      <c r="C16" s="9" t="s">
        <v>43</v>
      </c>
      <c r="D16" s="13" t="n">
        <v>150</v>
      </c>
      <c r="E16" s="13" t="n">
        <v>121</v>
      </c>
      <c r="F16" s="13" t="n">
        <v>12</v>
      </c>
      <c r="G16" s="13" t="n">
        <v>3</v>
      </c>
      <c r="H16" s="13" t="n">
        <v>27900</v>
      </c>
      <c r="I16" s="14"/>
      <c r="J16" s="14"/>
      <c r="K16" s="15"/>
    </row>
    <row r="17" customFormat="false" ht="15" hidden="false" customHeight="false" outlineLevel="0" collapsed="false">
      <c r="B17" s="9" t="s">
        <v>47</v>
      </c>
      <c r="C17" s="9" t="s">
        <v>41</v>
      </c>
      <c r="D17" s="13" t="n">
        <v>1150</v>
      </c>
      <c r="E17" s="13" t="n">
        <v>690</v>
      </c>
      <c r="F17" s="13" t="n">
        <v>48</v>
      </c>
      <c r="G17" s="13" t="n">
        <v>27</v>
      </c>
      <c r="H17" s="13" t="n">
        <v>63500</v>
      </c>
      <c r="I17" s="14"/>
      <c r="J17" s="14"/>
      <c r="K17" s="15"/>
    </row>
    <row r="18" customFormat="false" ht="15" hidden="false" customHeight="false" outlineLevel="0" collapsed="false">
      <c r="B18" s="9" t="s">
        <v>47</v>
      </c>
      <c r="C18" s="9" t="s">
        <v>42</v>
      </c>
      <c r="D18" s="13" t="n">
        <v>430</v>
      </c>
      <c r="E18" s="13" t="n">
        <v>280</v>
      </c>
      <c r="F18" s="13" t="n">
        <v>22</v>
      </c>
      <c r="G18" s="13" t="n">
        <v>13</v>
      </c>
      <c r="H18" s="13" t="n">
        <v>30600</v>
      </c>
      <c r="I18" s="14"/>
      <c r="J18" s="14"/>
      <c r="K18" s="15"/>
    </row>
    <row r="19" customFormat="false" ht="15" hidden="false" customHeight="false" outlineLevel="0" collapsed="false">
      <c r="B19" s="9" t="s">
        <v>47</v>
      </c>
      <c r="C19" s="9" t="s">
        <v>43</v>
      </c>
      <c r="D19" s="13" t="n">
        <v>90</v>
      </c>
      <c r="E19" s="13" t="n">
        <v>58</v>
      </c>
      <c r="F19" s="13" t="n">
        <v>5</v>
      </c>
      <c r="G19" s="13" t="n">
        <v>1</v>
      </c>
      <c r="H19" s="13" t="n">
        <v>8200</v>
      </c>
      <c r="I19" s="14"/>
      <c r="J19" s="14"/>
      <c r="K19" s="15"/>
    </row>
    <row r="20" customFormat="false" ht="15" hidden="false" customHeight="false" outlineLevel="0" collapsed="false">
      <c r="B20" s="9" t="s">
        <v>48</v>
      </c>
      <c r="C20" s="9" t="s">
        <v>41</v>
      </c>
      <c r="D20" s="13" t="n">
        <v>380</v>
      </c>
      <c r="E20" s="13" t="n">
        <v>247</v>
      </c>
      <c r="F20" s="13" t="n">
        <v>16</v>
      </c>
      <c r="G20" s="13" t="n">
        <v>9</v>
      </c>
      <c r="H20" s="13" t="n">
        <v>21600</v>
      </c>
      <c r="I20" s="14"/>
      <c r="J20" s="14"/>
      <c r="K20" s="15"/>
    </row>
    <row r="21" customFormat="false" ht="15" hidden="false" customHeight="false" outlineLevel="0" collapsed="false">
      <c r="B21" s="9" t="s">
        <v>48</v>
      </c>
      <c r="C21" s="9" t="s">
        <v>42</v>
      </c>
      <c r="D21" s="13" t="n">
        <v>960</v>
      </c>
      <c r="E21" s="13" t="n">
        <v>653</v>
      </c>
      <c r="F21" s="13" t="n">
        <v>58</v>
      </c>
      <c r="G21" s="13" t="n">
        <v>37</v>
      </c>
      <c r="H21" s="13" t="n">
        <v>88800</v>
      </c>
      <c r="I21" s="14"/>
      <c r="J21" s="14"/>
      <c r="K21" s="15"/>
    </row>
    <row r="22" customFormat="false" ht="15" hidden="false" customHeight="false" outlineLevel="0" collapsed="false">
      <c r="B22" s="9" t="s">
        <v>48</v>
      </c>
      <c r="C22" s="9" t="s">
        <v>43</v>
      </c>
      <c r="D22" s="13" t="n">
        <v>310</v>
      </c>
      <c r="E22" s="13" t="n">
        <v>223</v>
      </c>
      <c r="F22" s="13" t="n">
        <v>21</v>
      </c>
      <c r="G22" s="13" t="n">
        <v>4</v>
      </c>
      <c r="H22" s="13" t="n">
        <v>38400</v>
      </c>
      <c r="I22" s="14"/>
      <c r="J22" s="14"/>
      <c r="K22" s="15"/>
    </row>
    <row r="23" customFormat="false" ht="15" hidden="false" customHeight="false" outlineLevel="0" collapsed="false">
      <c r="B23" s="9" t="s">
        <v>49</v>
      </c>
      <c r="C23" s="9" t="s">
        <v>41</v>
      </c>
      <c r="D23" s="13" t="n">
        <v>40</v>
      </c>
      <c r="E23" s="13" t="n">
        <v>31</v>
      </c>
      <c r="F23" s="13" t="n">
        <v>3</v>
      </c>
      <c r="G23" s="13" t="n">
        <v>1</v>
      </c>
      <c r="H23" s="13" t="n">
        <v>2400</v>
      </c>
      <c r="I23" s="14"/>
      <c r="J23" s="14"/>
      <c r="K23" s="15"/>
    </row>
    <row r="24" customFormat="false" ht="15" hidden="false" customHeight="false" outlineLevel="0" collapsed="false">
      <c r="B24" s="9" t="s">
        <v>49</v>
      </c>
      <c r="C24" s="9" t="s">
        <v>42</v>
      </c>
      <c r="D24" s="13" t="n">
        <v>38</v>
      </c>
      <c r="E24" s="13" t="n">
        <v>30</v>
      </c>
      <c r="F24" s="13" t="n">
        <v>3</v>
      </c>
      <c r="G24" s="13" t="n">
        <v>2</v>
      </c>
      <c r="H24" s="13" t="n">
        <v>5100</v>
      </c>
      <c r="I24" s="14"/>
      <c r="J24" s="14"/>
      <c r="K24" s="15"/>
    </row>
    <row r="25" customFormat="false" ht="15" hidden="false" customHeight="false" outlineLevel="0" collapsed="false">
      <c r="B25" s="9" t="s">
        <v>49</v>
      </c>
      <c r="C25" s="9" t="s">
        <v>43</v>
      </c>
      <c r="D25" s="13" t="n">
        <v>18</v>
      </c>
      <c r="E25" s="13" t="n">
        <v>15</v>
      </c>
      <c r="F25" s="13" t="n">
        <v>2</v>
      </c>
      <c r="G25" s="13" t="n">
        <v>1</v>
      </c>
      <c r="H25" s="13" t="n">
        <v>9800</v>
      </c>
      <c r="I25" s="14"/>
      <c r="J25" s="14"/>
      <c r="K25" s="15"/>
    </row>
    <row r="26" customFormat="false" ht="15" hidden="false" customHeight="false" outlineLevel="0" collapsed="false">
      <c r="B26" s="7" t="s">
        <v>24</v>
      </c>
      <c r="C26" s="9"/>
      <c r="D26" s="16" t="n">
        <f aca="false">SUM(D5:D25)</f>
        <v>12746</v>
      </c>
      <c r="E26" s="16" t="n">
        <f aca="false">SUM(E5:E25)</f>
        <v>7807</v>
      </c>
      <c r="F26" s="16" t="n">
        <f aca="false">SUM(F5:F25)</f>
        <v>587</v>
      </c>
      <c r="G26" s="16" t="n">
        <f aca="false">SUM(G5:G25)</f>
        <v>303</v>
      </c>
      <c r="H26" s="16" t="n">
        <f aca="false">SUM(H5:H25)</f>
        <v>833500</v>
      </c>
      <c r="I26" s="14"/>
      <c r="J26" s="14"/>
      <c r="K26" s="15"/>
    </row>
    <row r="27" customFormat="false" ht="15" hidden="false" customHeight="false" outlineLevel="0" collapsed="false">
      <c r="B27" s="17" t="s">
        <v>50</v>
      </c>
    </row>
    <row r="29" customFormat="false" ht="15" hidden="false" customHeight="false" outlineLevel="0" collapsed="false">
      <c r="B29" s="3" t="s">
        <v>51</v>
      </c>
      <c r="C29" s="4"/>
      <c r="D29" s="4"/>
      <c r="E29" s="4"/>
      <c r="F29" s="4"/>
      <c r="G29" s="4"/>
      <c r="H29" s="4"/>
      <c r="I29" s="4"/>
      <c r="J29" s="4"/>
      <c r="K29" s="4"/>
    </row>
    <row r="30" customFormat="false" ht="45" hidden="false" customHeight="true" outlineLevel="0" collapsed="false">
      <c r="B30" s="6" t="s">
        <v>30</v>
      </c>
      <c r="C30" s="6" t="s">
        <v>32</v>
      </c>
      <c r="D30" s="6" t="s">
        <v>33</v>
      </c>
      <c r="E30" s="6" t="s">
        <v>34</v>
      </c>
      <c r="F30" s="6" t="s">
        <v>36</v>
      </c>
      <c r="G30" s="6" t="s">
        <v>37</v>
      </c>
      <c r="H30" s="6" t="s">
        <v>38</v>
      </c>
      <c r="I30" s="6" t="s">
        <v>39</v>
      </c>
      <c r="J30" s="6" t="s">
        <v>52</v>
      </c>
    </row>
    <row r="31" customFormat="false" ht="15" hidden="false" customHeight="false" outlineLevel="0" collapsed="false">
      <c r="B31" s="7" t="s">
        <v>40</v>
      </c>
      <c r="C31" s="18" t="n">
        <f aca="false">SUMIF($B$5:$B$25,$B31,D$5:D$25)</f>
        <v>3840</v>
      </c>
      <c r="D31" s="18" t="n">
        <f aca="false">SUMIF($B$5:$B$25,$B31,E$5:E$25)</f>
        <v>2643</v>
      </c>
      <c r="E31" s="18" t="n">
        <f aca="false">SUMIF($B$5:$B$25,$B31,F$5:F$25)</f>
        <v>190</v>
      </c>
      <c r="F31" s="18" t="n">
        <f aca="false">SUMIF($B$5:$B$25,$B31,H$5:H$25)</f>
        <v>289300</v>
      </c>
      <c r="G31" s="14" t="n">
        <f aca="false">D31/C31</f>
        <v>0.68828125</v>
      </c>
      <c r="H31" s="14" t="n">
        <f aca="false">E31/C31</f>
        <v>0.0494791666666667</v>
      </c>
      <c r="I31" s="15" t="n">
        <f aca="false">F31/C31</f>
        <v>75.3385416666667</v>
      </c>
      <c r="J31" s="14" t="n">
        <f aca="false">F31/$H$26</f>
        <v>0.347090581883623</v>
      </c>
    </row>
    <row r="32" customFormat="false" ht="15" hidden="false" customHeight="false" outlineLevel="0" collapsed="false">
      <c r="B32" s="7" t="s">
        <v>44</v>
      </c>
      <c r="C32" s="18"/>
      <c r="D32" s="18"/>
      <c r="E32" s="18"/>
      <c r="F32" s="18"/>
      <c r="G32" s="14"/>
      <c r="H32" s="14"/>
      <c r="I32" s="15"/>
      <c r="J32" s="14"/>
    </row>
    <row r="33" customFormat="false" ht="15" hidden="false" customHeight="false" outlineLevel="0" collapsed="false">
      <c r="B33" s="7" t="s">
        <v>45</v>
      </c>
      <c r="C33" s="18"/>
      <c r="D33" s="18"/>
      <c r="E33" s="18"/>
      <c r="F33" s="18"/>
      <c r="G33" s="14"/>
      <c r="H33" s="14"/>
      <c r="I33" s="15"/>
      <c r="J33" s="14"/>
    </row>
    <row r="34" customFormat="false" ht="15" hidden="false" customHeight="false" outlineLevel="0" collapsed="false">
      <c r="B34" s="7" t="s">
        <v>46</v>
      </c>
      <c r="C34" s="18"/>
      <c r="D34" s="18"/>
      <c r="E34" s="18"/>
      <c r="F34" s="18"/>
      <c r="G34" s="14"/>
      <c r="H34" s="14"/>
      <c r="I34" s="15"/>
      <c r="J34" s="14"/>
    </row>
    <row r="35" customFormat="false" ht="15" hidden="false" customHeight="false" outlineLevel="0" collapsed="false">
      <c r="B35" s="7" t="s">
        <v>47</v>
      </c>
      <c r="C35" s="18"/>
      <c r="D35" s="18"/>
      <c r="E35" s="18"/>
      <c r="F35" s="18"/>
      <c r="G35" s="14"/>
      <c r="H35" s="14"/>
      <c r="I35" s="15"/>
      <c r="J35" s="14"/>
    </row>
    <row r="36" customFormat="false" ht="15" hidden="false" customHeight="false" outlineLevel="0" collapsed="false">
      <c r="B36" s="7" t="s">
        <v>48</v>
      </c>
      <c r="C36" s="18"/>
      <c r="D36" s="18"/>
      <c r="E36" s="18"/>
      <c r="F36" s="18"/>
      <c r="G36" s="14"/>
      <c r="H36" s="14"/>
      <c r="I36" s="15"/>
      <c r="J36" s="14"/>
    </row>
    <row r="37" customFormat="false" ht="15" hidden="false" customHeight="false" outlineLevel="0" collapsed="false">
      <c r="B37" s="7" t="s">
        <v>49</v>
      </c>
      <c r="C37" s="18"/>
      <c r="D37" s="18"/>
      <c r="E37" s="18"/>
      <c r="F37" s="18"/>
      <c r="G37" s="14"/>
      <c r="H37" s="14"/>
      <c r="I37" s="15"/>
      <c r="J37" s="14"/>
    </row>
    <row r="38" customFormat="false" ht="15" hidden="false" customHeight="false" outlineLevel="0" collapsed="false">
      <c r="B38" s="17" t="s">
        <v>53</v>
      </c>
    </row>
    <row r="40" customFormat="false" ht="15" hidden="false" customHeight="false" outlineLevel="0" collapsed="false">
      <c r="B40" s="3" t="s">
        <v>54</v>
      </c>
      <c r="C40" s="4"/>
      <c r="D40" s="4"/>
      <c r="E40" s="4"/>
      <c r="F40" s="4"/>
      <c r="G40" s="4"/>
      <c r="H40" s="4"/>
      <c r="I40" s="4"/>
      <c r="J40" s="4"/>
      <c r="K40" s="4"/>
    </row>
    <row r="41" customFormat="false" ht="30" hidden="false" customHeight="true" outlineLevel="0" collapsed="false">
      <c r="B41" s="8" t="s">
        <v>55</v>
      </c>
      <c r="C41" s="8"/>
      <c r="D41" s="8"/>
      <c r="E41" s="8"/>
      <c r="F41" s="8"/>
      <c r="G41" s="8"/>
      <c r="H41" s="11"/>
      <c r="I41" s="11"/>
    </row>
    <row r="42" customFormat="false" ht="30" hidden="false" customHeight="true" outlineLevel="0" collapsed="false">
      <c r="B42" s="8" t="s">
        <v>56</v>
      </c>
      <c r="C42" s="8"/>
      <c r="D42" s="8"/>
      <c r="E42" s="8"/>
      <c r="F42" s="8"/>
      <c r="G42" s="8"/>
      <c r="H42" s="11"/>
      <c r="I42" s="11"/>
    </row>
    <row r="43" customFormat="false" ht="30" hidden="false" customHeight="true" outlineLevel="0" collapsed="false">
      <c r="B43" s="8" t="s">
        <v>57</v>
      </c>
      <c r="C43" s="8"/>
      <c r="D43" s="8"/>
      <c r="E43" s="8"/>
      <c r="F43" s="8"/>
      <c r="G43" s="8"/>
      <c r="H43" s="11"/>
      <c r="I43" s="11"/>
    </row>
    <row r="44" customFormat="false" ht="30" hidden="false" customHeight="true" outlineLevel="0" collapsed="false">
      <c r="B44" s="8" t="s">
        <v>58</v>
      </c>
      <c r="C44" s="8"/>
      <c r="D44" s="8"/>
      <c r="E44" s="8"/>
      <c r="F44" s="8"/>
      <c r="G44" s="8"/>
      <c r="H44" s="19"/>
      <c r="I44" s="19"/>
    </row>
    <row r="45" customFormat="false" ht="30" hidden="false" customHeight="true" outlineLevel="0" collapsed="false">
      <c r="B45" s="8" t="s">
        <v>59</v>
      </c>
      <c r="C45" s="8"/>
      <c r="D45" s="8"/>
      <c r="E45" s="8"/>
      <c r="F45" s="8"/>
      <c r="G45" s="8"/>
      <c r="H45" s="14"/>
      <c r="I45" s="14"/>
    </row>
    <row r="46" customFormat="false" ht="94.5" hidden="false" customHeight="true" outlineLevel="0" collapsed="false">
      <c r="B46" s="8" t="s">
        <v>60</v>
      </c>
      <c r="C46" s="8"/>
      <c r="D46" s="8"/>
      <c r="E46" s="8"/>
      <c r="F46" s="8"/>
      <c r="G46" s="8"/>
      <c r="H46" s="20"/>
      <c r="I46" s="20"/>
      <c r="J46" s="20"/>
      <c r="K46" s="20"/>
      <c r="L46" s="20"/>
      <c r="M46" s="20"/>
    </row>
    <row r="47" customFormat="false" ht="94.5" hidden="false" customHeight="true" outlineLevel="0" collapsed="false">
      <c r="B47" s="8" t="s">
        <v>61</v>
      </c>
      <c r="C47" s="8"/>
      <c r="D47" s="8"/>
      <c r="E47" s="8"/>
      <c r="F47" s="8"/>
      <c r="G47" s="8"/>
      <c r="H47" s="20"/>
      <c r="I47" s="20"/>
      <c r="J47" s="20"/>
      <c r="K47" s="20"/>
      <c r="L47" s="20"/>
      <c r="M47" s="20"/>
    </row>
  </sheetData>
  <mergeCells count="14">
    <mergeCell ref="B41:G41"/>
    <mergeCell ref="H41:I41"/>
    <mergeCell ref="B42:G42"/>
    <mergeCell ref="H42:I42"/>
    <mergeCell ref="B43:G43"/>
    <mergeCell ref="H43:I43"/>
    <mergeCell ref="B44:G44"/>
    <mergeCell ref="H44:I44"/>
    <mergeCell ref="B45:G45"/>
    <mergeCell ref="H45:I45"/>
    <mergeCell ref="B46:G46"/>
    <mergeCell ref="H46:M46"/>
    <mergeCell ref="B47:G47"/>
    <mergeCell ref="H47:M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9" min="3" style="0" width="12"/>
    <col collapsed="false" customWidth="true" hidden="false" outlineLevel="0" max="12" min="10" style="0" width="11"/>
    <col collapsed="false" customWidth="true" hidden="false" outlineLevel="0" max="14" min="13" style="0" width="12"/>
  </cols>
  <sheetData>
    <row r="1" customFormat="false" ht="17.35" hidden="false" customHeight="false" outlineLevel="0" collapsed="false">
      <c r="B1" s="1" t="s">
        <v>62</v>
      </c>
    </row>
    <row r="2" customFormat="false" ht="15" hidden="false" customHeight="false" outlineLevel="0" collapsed="false">
      <c r="B2" s="2" t="s">
        <v>63</v>
      </c>
    </row>
    <row r="4" customFormat="false" ht="57.75" hidden="false" customHeight="true" outlineLevel="0" collapsed="false">
      <c r="B4" s="6" t="s">
        <v>30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  <c r="N4" s="6" t="s">
        <v>75</v>
      </c>
    </row>
    <row r="5" customFormat="false" ht="15" hidden="false" customHeight="false" outlineLevel="0" collapsed="false">
      <c r="B5" s="7" t="s">
        <v>40</v>
      </c>
      <c r="C5" s="13" t="n">
        <v>72</v>
      </c>
      <c r="D5" s="13" t="n">
        <v>172800</v>
      </c>
      <c r="E5" s="21" t="n">
        <v>66.4</v>
      </c>
      <c r="F5" s="13" t="n">
        <v>159400</v>
      </c>
      <c r="G5" s="13" t="n">
        <v>0</v>
      </c>
      <c r="H5" s="22" t="n">
        <v>0.22</v>
      </c>
      <c r="I5" s="23" t="n">
        <f aca="false">E5-C5</f>
        <v>-5.59999999999999</v>
      </c>
      <c r="J5" s="24" t="n">
        <f aca="false">I5/C5</f>
        <v>-0.0777777777777777</v>
      </c>
      <c r="K5" s="14" t="n">
        <f aca="false">C5/$C$12</f>
        <v>0.36</v>
      </c>
      <c r="L5" s="14" t="n">
        <f aca="false">E5/$E$12</f>
        <v>0.332</v>
      </c>
      <c r="M5" s="18" t="str">
        <f aca="false">IF(G5&gt;0,G5/C5,"")</f>
        <v/>
      </c>
      <c r="N5" s="18" t="str">
        <f aca="false">IF(G5&gt;0,G5/E5,"")</f>
        <v/>
      </c>
    </row>
    <row r="6" customFormat="false" ht="15" hidden="false" customHeight="false" outlineLevel="0" collapsed="false">
      <c r="B6" s="7" t="s">
        <v>44</v>
      </c>
      <c r="C6" s="13" t="n">
        <v>19</v>
      </c>
      <c r="D6" s="13" t="n">
        <v>43700</v>
      </c>
      <c r="E6" s="21" t="n">
        <v>31</v>
      </c>
      <c r="F6" s="13" t="n">
        <v>71300</v>
      </c>
      <c r="G6" s="13" t="n">
        <v>38000</v>
      </c>
      <c r="H6" s="22" t="n">
        <v>0.41</v>
      </c>
      <c r="I6" s="23"/>
      <c r="J6" s="24"/>
      <c r="K6" s="14"/>
      <c r="L6" s="14"/>
      <c r="M6" s="18"/>
      <c r="N6" s="18"/>
    </row>
    <row r="7" customFormat="false" ht="15" hidden="false" customHeight="false" outlineLevel="0" collapsed="false">
      <c r="B7" s="7" t="s">
        <v>45</v>
      </c>
      <c r="C7" s="13" t="n">
        <v>11</v>
      </c>
      <c r="D7" s="13" t="n">
        <v>24200</v>
      </c>
      <c r="E7" s="21" t="n">
        <v>16.2</v>
      </c>
      <c r="F7" s="13" t="n">
        <v>36500</v>
      </c>
      <c r="G7" s="13" t="n">
        <v>0</v>
      </c>
      <c r="H7" s="22" t="n">
        <v>0.18</v>
      </c>
      <c r="I7" s="23"/>
      <c r="J7" s="24"/>
      <c r="K7" s="14"/>
      <c r="L7" s="14"/>
      <c r="M7" s="18"/>
      <c r="N7" s="18"/>
    </row>
    <row r="8" customFormat="false" ht="15" hidden="false" customHeight="false" outlineLevel="0" collapsed="false">
      <c r="B8" s="7" t="s">
        <v>46</v>
      </c>
      <c r="C8" s="13" t="n">
        <v>38</v>
      </c>
      <c r="D8" s="13" t="n">
        <v>95000</v>
      </c>
      <c r="E8" s="21" t="n">
        <v>30.5</v>
      </c>
      <c r="F8" s="13" t="n">
        <v>75400</v>
      </c>
      <c r="G8" s="13" t="n">
        <v>0</v>
      </c>
      <c r="H8" s="22" t="n">
        <v>0.04</v>
      </c>
      <c r="I8" s="23"/>
      <c r="J8" s="24"/>
      <c r="K8" s="14"/>
      <c r="L8" s="14"/>
      <c r="M8" s="18"/>
      <c r="N8" s="18"/>
    </row>
    <row r="9" customFormat="false" ht="15" hidden="false" customHeight="false" outlineLevel="0" collapsed="false">
      <c r="B9" s="7" t="s">
        <v>76</v>
      </c>
      <c r="C9" s="13" t="n">
        <v>9</v>
      </c>
      <c r="D9" s="13" t="n">
        <v>21600</v>
      </c>
      <c r="E9" s="21" t="n">
        <v>8.1</v>
      </c>
      <c r="F9" s="13" t="n">
        <v>19300</v>
      </c>
      <c r="G9" s="13" t="n">
        <v>0</v>
      </c>
      <c r="H9" s="22" t="n">
        <v>0.05</v>
      </c>
      <c r="I9" s="23"/>
      <c r="J9" s="24"/>
      <c r="K9" s="14"/>
      <c r="L9" s="14"/>
      <c r="M9" s="18"/>
      <c r="N9" s="18"/>
    </row>
    <row r="10" customFormat="false" ht="15" hidden="false" customHeight="false" outlineLevel="0" collapsed="false">
      <c r="B10" s="7" t="s">
        <v>48</v>
      </c>
      <c r="C10" s="13" t="n">
        <v>45</v>
      </c>
      <c r="D10" s="13" t="n">
        <v>112500</v>
      </c>
      <c r="E10" s="21" t="n">
        <v>41</v>
      </c>
      <c r="F10" s="13" t="n">
        <v>106000</v>
      </c>
      <c r="G10" s="13" t="n">
        <v>52000</v>
      </c>
      <c r="H10" s="22" t="n">
        <v>0.07</v>
      </c>
      <c r="I10" s="23"/>
      <c r="J10" s="24"/>
      <c r="K10" s="14"/>
      <c r="L10" s="14"/>
      <c r="M10" s="18"/>
      <c r="N10" s="18"/>
    </row>
    <row r="11" customFormat="false" ht="15" hidden="false" customHeight="false" outlineLevel="0" collapsed="false">
      <c r="B11" s="7" t="s">
        <v>49</v>
      </c>
      <c r="C11" s="13" t="n">
        <v>6</v>
      </c>
      <c r="D11" s="13" t="n">
        <v>15000</v>
      </c>
      <c r="E11" s="21" t="n">
        <v>6.8</v>
      </c>
      <c r="F11" s="13" t="n">
        <v>16900</v>
      </c>
      <c r="G11" s="13" t="n">
        <v>0</v>
      </c>
      <c r="H11" s="22" t="n">
        <v>0.03</v>
      </c>
      <c r="I11" s="23"/>
      <c r="J11" s="24"/>
      <c r="K11" s="14"/>
      <c r="L11" s="14"/>
      <c r="M11" s="18"/>
      <c r="N11" s="18"/>
    </row>
    <row r="12" customFormat="false" ht="15" hidden="false" customHeight="false" outlineLevel="0" collapsed="false">
      <c r="B12" s="7" t="s">
        <v>24</v>
      </c>
      <c r="C12" s="16" t="n">
        <f aca="false">SUM(C5:C11)</f>
        <v>200</v>
      </c>
      <c r="D12" s="16" t="n">
        <f aca="false">SUM(D5:D11)</f>
        <v>484800</v>
      </c>
      <c r="E12" s="25" t="n">
        <f aca="false">SUM(E5:E11)</f>
        <v>200</v>
      </c>
      <c r="F12" s="16" t="n">
        <f aca="false">SUM(F5:F11)</f>
        <v>484800</v>
      </c>
      <c r="G12" s="16" t="n">
        <f aca="false">SUM(G5:G11)</f>
        <v>90000</v>
      </c>
    </row>
    <row r="13" customFormat="false" ht="15" hidden="false" customHeight="false" outlineLevel="0" collapsed="false">
      <c r="B13" s="17" t="s">
        <v>77</v>
      </c>
    </row>
    <row r="15" customFormat="false" ht="15" hidden="false" customHeight="false" outlineLevel="0" collapsed="false">
      <c r="B15" s="3" t="s">
        <v>54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30" hidden="false" customHeight="true" outlineLevel="0" collapsed="false">
      <c r="B16" s="8" t="s">
        <v>78</v>
      </c>
      <c r="C16" s="8"/>
      <c r="D16" s="8"/>
      <c r="E16" s="8"/>
      <c r="F16" s="8"/>
      <c r="G16" s="8"/>
      <c r="H16" s="11"/>
      <c r="I16" s="11"/>
    </row>
    <row r="17" customFormat="false" ht="30" hidden="false" customHeight="true" outlineLevel="0" collapsed="false">
      <c r="B17" s="8" t="s">
        <v>79</v>
      </c>
      <c r="C17" s="8"/>
      <c r="D17" s="8"/>
      <c r="E17" s="8"/>
      <c r="F17" s="8"/>
      <c r="G17" s="8"/>
      <c r="H17" s="11"/>
      <c r="I17" s="11"/>
    </row>
    <row r="18" customFormat="false" ht="30" hidden="false" customHeight="true" outlineLevel="0" collapsed="false">
      <c r="B18" s="8" t="s">
        <v>80</v>
      </c>
      <c r="C18" s="8"/>
      <c r="D18" s="8"/>
      <c r="E18" s="8"/>
      <c r="F18" s="8"/>
      <c r="G18" s="8"/>
      <c r="H18" s="26"/>
      <c r="I18" s="26"/>
    </row>
    <row r="19" customFormat="false" ht="30" hidden="false" customHeight="true" outlineLevel="0" collapsed="false">
      <c r="B19" s="8" t="s">
        <v>81</v>
      </c>
      <c r="C19" s="8"/>
      <c r="D19" s="8"/>
      <c r="E19" s="8"/>
      <c r="F19" s="8"/>
      <c r="G19" s="8"/>
      <c r="H19" s="19"/>
      <c r="I19" s="19"/>
    </row>
    <row r="20" customFormat="false" ht="30" hidden="false" customHeight="true" outlineLevel="0" collapsed="false">
      <c r="B20" s="8" t="s">
        <v>82</v>
      </c>
      <c r="C20" s="8"/>
      <c r="D20" s="8"/>
      <c r="E20" s="8"/>
      <c r="F20" s="8"/>
      <c r="G20" s="8"/>
      <c r="H20" s="18"/>
      <c r="I20" s="18"/>
    </row>
    <row r="21" customFormat="false" ht="109.5" hidden="false" customHeight="true" outlineLevel="0" collapsed="false">
      <c r="B21" s="8" t="s">
        <v>83</v>
      </c>
      <c r="C21" s="8"/>
      <c r="D21" s="8"/>
      <c r="E21" s="8"/>
      <c r="F21" s="8"/>
      <c r="G21" s="8"/>
      <c r="H21" s="20"/>
      <c r="I21" s="20"/>
      <c r="J21" s="20"/>
      <c r="K21" s="20"/>
      <c r="L21" s="20"/>
      <c r="M21" s="20"/>
    </row>
  </sheetData>
  <mergeCells count="12">
    <mergeCell ref="B16:G16"/>
    <mergeCell ref="H16:I16"/>
    <mergeCell ref="B17:G17"/>
    <mergeCell ref="H17:I17"/>
    <mergeCell ref="B18:G18"/>
    <mergeCell ref="H18:I18"/>
    <mergeCell ref="B19:G19"/>
    <mergeCell ref="H19:I19"/>
    <mergeCell ref="B20:G20"/>
    <mergeCell ref="H20:I20"/>
    <mergeCell ref="B21:G21"/>
    <mergeCell ref="H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9" min="8" style="0" width="15"/>
    <col collapsed="false" customWidth="true" hidden="false" outlineLevel="0" max="10" min="10" style="0" width="14"/>
  </cols>
  <sheetData>
    <row r="1" customFormat="false" ht="17.35" hidden="false" customHeight="false" outlineLevel="0" collapsed="false">
      <c r="B1" s="1" t="s">
        <v>84</v>
      </c>
    </row>
    <row r="2" customFormat="false" ht="15" hidden="false" customHeight="false" outlineLevel="0" collapsed="false">
      <c r="B2" s="2" t="s">
        <v>85</v>
      </c>
    </row>
    <row r="4" customFormat="false" ht="57.75" hidden="false" customHeight="true" outlineLevel="0" collapsed="false">
      <c r="B4" s="6" t="s">
        <v>86</v>
      </c>
      <c r="C4" s="6" t="s">
        <v>87</v>
      </c>
      <c r="D4" s="6" t="s">
        <v>88</v>
      </c>
      <c r="E4" s="6" t="s">
        <v>89</v>
      </c>
      <c r="F4" s="6" t="s">
        <v>90</v>
      </c>
      <c r="G4" s="6" t="s">
        <v>91</v>
      </c>
      <c r="H4" s="6" t="s">
        <v>92</v>
      </c>
      <c r="I4" s="6" t="s">
        <v>93</v>
      </c>
      <c r="J4" s="6" t="s">
        <v>94</v>
      </c>
    </row>
    <row r="5" customFormat="false" ht="15" hidden="false" customHeight="false" outlineLevel="0" collapsed="false">
      <c r="B5" s="7" t="s">
        <v>95</v>
      </c>
      <c r="C5" s="9" t="s">
        <v>96</v>
      </c>
      <c r="D5" s="13" t="n">
        <v>9800</v>
      </c>
      <c r="E5" s="13" t="n">
        <v>3100</v>
      </c>
      <c r="F5" s="9" t="s">
        <v>97</v>
      </c>
      <c r="G5" s="9" t="s">
        <v>97</v>
      </c>
      <c r="H5" s="9" t="s">
        <v>97</v>
      </c>
      <c r="I5" s="9" t="s">
        <v>97</v>
      </c>
      <c r="J5" s="9" t="s">
        <v>97</v>
      </c>
    </row>
    <row r="6" customFormat="false" ht="15" hidden="false" customHeight="false" outlineLevel="0" collapsed="false">
      <c r="B6" s="7" t="s">
        <v>98</v>
      </c>
      <c r="C6" s="9" t="s">
        <v>99</v>
      </c>
      <c r="D6" s="13" t="n">
        <v>5200</v>
      </c>
      <c r="E6" s="13" t="n">
        <v>1900</v>
      </c>
      <c r="F6" s="14" t="n">
        <f aca="false">D6/D5</f>
        <v>0.530612244897959</v>
      </c>
      <c r="G6" s="14" t="n">
        <f aca="false">E6/E5</f>
        <v>0.612903225806452</v>
      </c>
      <c r="H6" s="14" t="n">
        <f aca="false">D6/$D$5</f>
        <v>0.530612244897959</v>
      </c>
      <c r="I6" s="18" t="n">
        <f aca="false">D5-D6</f>
        <v>4600</v>
      </c>
      <c r="J6" s="23" t="n">
        <f aca="false">(F6-G6)*100</f>
        <v>-8.22909809084924</v>
      </c>
    </row>
    <row r="7" customFormat="false" ht="15" hidden="false" customHeight="false" outlineLevel="0" collapsed="false">
      <c r="B7" s="7" t="s">
        <v>100</v>
      </c>
      <c r="C7" s="9" t="s">
        <v>101</v>
      </c>
      <c r="D7" s="13" t="n">
        <v>1640</v>
      </c>
      <c r="E7" s="13" t="n">
        <v>720</v>
      </c>
      <c r="F7" s="14"/>
      <c r="G7" s="14"/>
      <c r="H7" s="14"/>
      <c r="I7" s="18"/>
      <c r="J7" s="23"/>
    </row>
    <row r="8" customFormat="false" ht="15" hidden="false" customHeight="false" outlineLevel="0" collapsed="false">
      <c r="B8" s="7" t="s">
        <v>102</v>
      </c>
      <c r="C8" s="9" t="s">
        <v>103</v>
      </c>
      <c r="D8" s="13" t="n">
        <v>1200</v>
      </c>
      <c r="E8" s="13" t="n">
        <v>560</v>
      </c>
      <c r="F8" s="14"/>
      <c r="G8" s="14"/>
      <c r="H8" s="14"/>
      <c r="I8" s="18"/>
      <c r="J8" s="23"/>
    </row>
    <row r="9" customFormat="false" ht="15" hidden="false" customHeight="false" outlineLevel="0" collapsed="false">
      <c r="B9" s="7" t="s">
        <v>104</v>
      </c>
      <c r="C9" s="9" t="s">
        <v>105</v>
      </c>
      <c r="D9" s="13" t="n">
        <v>456</v>
      </c>
      <c r="E9" s="13" t="n">
        <v>325</v>
      </c>
      <c r="F9" s="14"/>
      <c r="G9" s="14"/>
      <c r="H9" s="14"/>
      <c r="I9" s="18"/>
      <c r="J9" s="23"/>
    </row>
    <row r="10" customFormat="false" ht="15" hidden="false" customHeight="false" outlineLevel="0" collapsed="false">
      <c r="B10" s="17" t="s">
        <v>106</v>
      </c>
    </row>
    <row r="13" customFormat="false" ht="15" hidden="false" customHeight="false" outlineLevel="0" collapsed="false">
      <c r="B13" s="7" t="s">
        <v>107</v>
      </c>
      <c r="C13" s="7"/>
      <c r="D13" s="13" t="n">
        <v>2400</v>
      </c>
    </row>
    <row r="15" customFormat="false" ht="15" hidden="false" customHeight="false" outlineLevel="0" collapsed="false">
      <c r="B15" s="3" t="s">
        <v>108</v>
      </c>
      <c r="C15" s="4"/>
      <c r="D15" s="4"/>
      <c r="E15" s="4"/>
      <c r="F15" s="4"/>
      <c r="G15" s="4"/>
      <c r="H15" s="4"/>
      <c r="I15" s="4"/>
      <c r="J15" s="4"/>
    </row>
    <row r="16" customFormat="false" ht="30" hidden="false" customHeight="true" outlineLevel="0" collapsed="false">
      <c r="B16" s="8" t="s">
        <v>109</v>
      </c>
      <c r="C16" s="8"/>
      <c r="D16" s="8"/>
      <c r="E16" s="8"/>
      <c r="F16" s="8"/>
      <c r="G16" s="8"/>
      <c r="H16" s="11"/>
      <c r="I16" s="11"/>
    </row>
    <row r="17" customFormat="false" ht="30" hidden="false" customHeight="true" outlineLevel="0" collapsed="false">
      <c r="B17" s="8" t="s">
        <v>110</v>
      </c>
      <c r="C17" s="8"/>
      <c r="D17" s="8"/>
      <c r="E17" s="8"/>
      <c r="F17" s="8"/>
      <c r="G17" s="8"/>
      <c r="H17" s="27"/>
      <c r="I17" s="27"/>
    </row>
    <row r="18" customFormat="false" ht="30" hidden="false" customHeight="true" outlineLevel="0" collapsed="false">
      <c r="B18" s="8" t="s">
        <v>111</v>
      </c>
      <c r="C18" s="8"/>
      <c r="D18" s="8"/>
      <c r="E18" s="8"/>
      <c r="F18" s="8"/>
      <c r="G18" s="8"/>
      <c r="H18" s="18"/>
      <c r="I18" s="18"/>
    </row>
    <row r="19" customFormat="false" ht="30" hidden="false" customHeight="true" outlineLevel="0" collapsed="false">
      <c r="B19" s="8" t="s">
        <v>112</v>
      </c>
      <c r="C19" s="8"/>
      <c r="D19" s="8"/>
      <c r="E19" s="8"/>
      <c r="F19" s="8"/>
      <c r="G19" s="8"/>
      <c r="H19" s="18"/>
      <c r="I19" s="18"/>
    </row>
    <row r="20" customFormat="false" ht="54.75" hidden="false" customHeight="true" outlineLevel="0" collapsed="false">
      <c r="B20" s="8" t="s">
        <v>113</v>
      </c>
      <c r="C20" s="8"/>
      <c r="D20" s="8"/>
      <c r="E20" s="8"/>
      <c r="F20" s="8"/>
      <c r="G20" s="8"/>
      <c r="H20" s="18"/>
      <c r="I20" s="18"/>
    </row>
    <row r="21" customFormat="false" ht="94.5" hidden="false" customHeight="true" outlineLevel="0" collapsed="false">
      <c r="B21" s="8" t="s">
        <v>114</v>
      </c>
      <c r="C21" s="8"/>
      <c r="D21" s="8"/>
      <c r="E21" s="8"/>
      <c r="F21" s="8"/>
      <c r="G21" s="8"/>
      <c r="H21" s="20"/>
      <c r="I21" s="20"/>
      <c r="J21" s="20"/>
      <c r="K21" s="20"/>
      <c r="L21" s="20"/>
      <c r="M21" s="20"/>
    </row>
  </sheetData>
  <mergeCells count="13">
    <mergeCell ref="B13:C13"/>
    <mergeCell ref="B16:G16"/>
    <mergeCell ref="H16:I16"/>
    <mergeCell ref="B17:G17"/>
    <mergeCell ref="H17:I17"/>
    <mergeCell ref="B18:G18"/>
    <mergeCell ref="H18:I18"/>
    <mergeCell ref="B19:G19"/>
    <mergeCell ref="H19:I19"/>
    <mergeCell ref="B20:G20"/>
    <mergeCell ref="H20:I20"/>
    <mergeCell ref="B21:G21"/>
    <mergeCell ref="H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12" min="5" style="0" width="11"/>
  </cols>
  <sheetData>
    <row r="1" customFormat="false" ht="17.35" hidden="false" customHeight="false" outlineLevel="0" collapsed="false">
      <c r="B1" s="1" t="s">
        <v>115</v>
      </c>
    </row>
    <row r="2" customFormat="false" ht="15" hidden="false" customHeight="false" outlineLevel="0" collapsed="false">
      <c r="B2" s="2" t="s">
        <v>116</v>
      </c>
    </row>
    <row r="4" customFormat="false" ht="45" hidden="false" customHeight="true" outlineLevel="0" collapsed="false">
      <c r="B4" s="6" t="s">
        <v>117</v>
      </c>
      <c r="C4" s="6" t="s">
        <v>118</v>
      </c>
      <c r="D4" s="6" t="s">
        <v>119</v>
      </c>
      <c r="E4" s="6" t="s">
        <v>120</v>
      </c>
      <c r="F4" s="6" t="s">
        <v>121</v>
      </c>
      <c r="G4" s="6" t="s">
        <v>122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127</v>
      </c>
    </row>
    <row r="5" customFormat="false" ht="15" hidden="false" customHeight="false" outlineLevel="0" collapsed="false">
      <c r="B5" s="7" t="s">
        <v>128</v>
      </c>
      <c r="C5" s="9" t="s">
        <v>129</v>
      </c>
      <c r="D5" s="13" t="n">
        <v>760</v>
      </c>
      <c r="E5" s="13" t="n">
        <v>71</v>
      </c>
      <c r="F5" s="13" t="n">
        <v>46</v>
      </c>
      <c r="G5" s="13" t="n">
        <v>37</v>
      </c>
      <c r="H5" s="13" t="n">
        <v>33</v>
      </c>
      <c r="I5" s="14" t="n">
        <f aca="false">IF(ISNUMBER(E5),E5/$D5,"")</f>
        <v>0.093421052631579</v>
      </c>
      <c r="J5" s="14" t="n">
        <f aca="false">IF(ISNUMBER(F5),F5/$D5,"")</f>
        <v>0.0605263157894737</v>
      </c>
      <c r="K5" s="14" t="n">
        <f aca="false">IF(ISNUMBER(G5),G5/$D5,"")</f>
        <v>0.0486842105263158</v>
      </c>
      <c r="L5" s="14" t="n">
        <f aca="false">IF(ISNUMBER(H5),H5/$D5,"")</f>
        <v>0.043421052631579</v>
      </c>
    </row>
    <row r="6" customFormat="false" ht="15" hidden="false" customHeight="false" outlineLevel="0" collapsed="false">
      <c r="B6" s="7" t="s">
        <v>130</v>
      </c>
      <c r="C6" s="9" t="s">
        <v>129</v>
      </c>
      <c r="D6" s="13" t="n">
        <v>790</v>
      </c>
      <c r="E6" s="13" t="n">
        <v>77</v>
      </c>
      <c r="F6" s="13" t="n">
        <v>50</v>
      </c>
      <c r="G6" s="13" t="n">
        <v>40</v>
      </c>
      <c r="H6" s="13" t="n">
        <v>35</v>
      </c>
      <c r="I6" s="14"/>
      <c r="J6" s="14"/>
      <c r="K6" s="14"/>
      <c r="L6" s="14"/>
    </row>
    <row r="7" customFormat="false" ht="15" hidden="false" customHeight="false" outlineLevel="0" collapsed="false">
      <c r="B7" s="7" t="s">
        <v>131</v>
      </c>
      <c r="C7" s="9" t="s">
        <v>132</v>
      </c>
      <c r="D7" s="13" t="n">
        <v>1420</v>
      </c>
      <c r="E7" s="13" t="n">
        <v>71</v>
      </c>
      <c r="F7" s="13" t="n">
        <v>37</v>
      </c>
      <c r="G7" s="13" t="n">
        <v>27</v>
      </c>
      <c r="H7" s="13" t="n">
        <v>21</v>
      </c>
      <c r="I7" s="14"/>
      <c r="J7" s="14"/>
      <c r="K7" s="14"/>
      <c r="L7" s="14"/>
    </row>
    <row r="8" customFormat="false" ht="15" hidden="false" customHeight="false" outlineLevel="0" collapsed="false">
      <c r="B8" s="7" t="s">
        <v>133</v>
      </c>
      <c r="C8" s="9" t="s">
        <v>129</v>
      </c>
      <c r="D8" s="13" t="n">
        <v>810</v>
      </c>
      <c r="E8" s="13" t="n">
        <v>84</v>
      </c>
      <c r="F8" s="13" t="n">
        <v>54</v>
      </c>
      <c r="G8" s="13" t="n">
        <v>42</v>
      </c>
      <c r="H8" s="13" t="s">
        <v>97</v>
      </c>
      <c r="I8" s="14"/>
      <c r="J8" s="14"/>
      <c r="K8" s="14"/>
      <c r="L8" s="14"/>
    </row>
    <row r="9" customFormat="false" ht="15" hidden="false" customHeight="false" outlineLevel="0" collapsed="false">
      <c r="B9" s="7" t="s">
        <v>134</v>
      </c>
      <c r="C9" s="9" t="s">
        <v>135</v>
      </c>
      <c r="D9" s="13" t="n">
        <v>880</v>
      </c>
      <c r="E9" s="13" t="n">
        <v>110</v>
      </c>
      <c r="F9" s="13" t="n">
        <v>74</v>
      </c>
      <c r="G9" s="13" t="s">
        <v>97</v>
      </c>
      <c r="H9" s="13" t="s">
        <v>97</v>
      </c>
      <c r="I9" s="14"/>
      <c r="J9" s="14"/>
      <c r="K9" s="14"/>
      <c r="L9" s="14"/>
    </row>
    <row r="10" customFormat="false" ht="15" hidden="false" customHeight="false" outlineLevel="0" collapsed="false">
      <c r="B10" s="7" t="s">
        <v>136</v>
      </c>
      <c r="C10" s="9" t="s">
        <v>129</v>
      </c>
      <c r="D10" s="13" t="n">
        <v>770</v>
      </c>
      <c r="E10" s="13" t="n">
        <v>82</v>
      </c>
      <c r="F10" s="13" t="s">
        <v>97</v>
      </c>
      <c r="G10" s="13" t="s">
        <v>97</v>
      </c>
      <c r="H10" s="13" t="s">
        <v>97</v>
      </c>
      <c r="I10" s="14"/>
      <c r="J10" s="14"/>
      <c r="K10" s="14"/>
      <c r="L10" s="14"/>
    </row>
    <row r="11" customFormat="false" ht="15" hidden="false" customHeight="false" outlineLevel="0" collapsed="false">
      <c r="B11" s="7" t="s">
        <v>137</v>
      </c>
      <c r="C11" s="9" t="s">
        <v>138</v>
      </c>
      <c r="D11" s="13" t="n">
        <v>900</v>
      </c>
      <c r="E11" s="13" t="n">
        <v>117</v>
      </c>
      <c r="F11" s="13" t="s">
        <v>97</v>
      </c>
      <c r="G11" s="13" t="s">
        <v>97</v>
      </c>
      <c r="H11" s="13" t="s">
        <v>97</v>
      </c>
      <c r="I11" s="14"/>
      <c r="J11" s="14"/>
      <c r="K11" s="14"/>
      <c r="L11" s="14"/>
    </row>
    <row r="12" customFormat="false" ht="15" hidden="false" customHeight="false" outlineLevel="0" collapsed="false">
      <c r="B12" s="17" t="s">
        <v>139</v>
      </c>
    </row>
    <row r="14" customFormat="false" ht="15" hidden="false" customHeight="false" outlineLevel="0" collapsed="false">
      <c r="B14" s="3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30" hidden="false" customHeight="true" outlineLevel="0" collapsed="false">
      <c r="B15" s="8" t="s">
        <v>140</v>
      </c>
      <c r="C15" s="8"/>
      <c r="D15" s="8"/>
      <c r="E15" s="8"/>
      <c r="F15" s="8"/>
      <c r="G15" s="8"/>
      <c r="H15" s="14"/>
      <c r="I15" s="14"/>
    </row>
    <row r="16" customFormat="false" ht="30" hidden="false" customHeight="true" outlineLevel="0" collapsed="false">
      <c r="B16" s="8" t="s">
        <v>141</v>
      </c>
      <c r="C16" s="8"/>
      <c r="D16" s="8"/>
      <c r="E16" s="8"/>
      <c r="F16" s="8"/>
      <c r="G16" s="8"/>
      <c r="H16" s="11"/>
      <c r="I16" s="11"/>
    </row>
    <row r="17" customFormat="false" ht="30" hidden="false" customHeight="true" outlineLevel="0" collapsed="false">
      <c r="B17" s="8" t="s">
        <v>142</v>
      </c>
      <c r="C17" s="8"/>
      <c r="D17" s="8"/>
      <c r="E17" s="8"/>
      <c r="F17" s="8"/>
      <c r="G17" s="8"/>
      <c r="H17" s="11"/>
      <c r="I17" s="11"/>
    </row>
    <row r="18" customFormat="false" ht="30" hidden="false" customHeight="true" outlineLevel="0" collapsed="false">
      <c r="B18" s="8" t="s">
        <v>143</v>
      </c>
      <c r="C18" s="8"/>
      <c r="D18" s="8"/>
      <c r="E18" s="8"/>
      <c r="F18" s="8"/>
      <c r="G18" s="8"/>
      <c r="H18" s="28"/>
      <c r="I18" s="28"/>
    </row>
    <row r="19" customFormat="false" ht="99.75" hidden="false" customHeight="true" outlineLevel="0" collapsed="false">
      <c r="B19" s="8" t="s">
        <v>144</v>
      </c>
      <c r="C19" s="8"/>
      <c r="D19" s="8"/>
      <c r="E19" s="8"/>
      <c r="F19" s="8"/>
      <c r="G19" s="8"/>
      <c r="H19" s="20"/>
      <c r="I19" s="20"/>
      <c r="J19" s="20"/>
      <c r="K19" s="20"/>
      <c r="L19" s="20"/>
      <c r="M19" s="20"/>
    </row>
  </sheetData>
  <mergeCells count="10">
    <mergeCell ref="B15:G15"/>
    <mergeCell ref="H15:I15"/>
    <mergeCell ref="B16:G16"/>
    <mergeCell ref="H16:I16"/>
    <mergeCell ref="B17:G17"/>
    <mergeCell ref="H17:I17"/>
    <mergeCell ref="B18:G18"/>
    <mergeCell ref="H18:I18"/>
    <mergeCell ref="B19:G19"/>
    <mergeCell ref="H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B1" s="1" t="s">
        <v>145</v>
      </c>
    </row>
    <row r="2" customFormat="false" ht="15" hidden="false" customHeight="false" outlineLevel="0" collapsed="false">
      <c r="B2" s="2" t="s">
        <v>146</v>
      </c>
    </row>
    <row r="4" customFormat="false" ht="15" hidden="false" customHeight="false" outlineLevel="0" collapsed="false">
      <c r="B4" s="7" t="s">
        <v>147</v>
      </c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B5" s="7" t="s">
        <v>148</v>
      </c>
      <c r="C5" s="11"/>
      <c r="D5" s="11"/>
      <c r="E5" s="11"/>
      <c r="F5" s="11"/>
      <c r="G5" s="11"/>
      <c r="H5" s="11"/>
    </row>
    <row r="7" customFormat="false" ht="15" hidden="false" customHeight="false" outlineLevel="0" collapsed="false">
      <c r="B7" s="6" t="s">
        <v>149</v>
      </c>
      <c r="C7" s="6" t="s">
        <v>150</v>
      </c>
      <c r="D7" s="6" t="s">
        <v>151</v>
      </c>
      <c r="E7" s="6" t="s">
        <v>152</v>
      </c>
      <c r="F7" s="6" t="s">
        <v>153</v>
      </c>
      <c r="G7" s="6" t="s">
        <v>154</v>
      </c>
      <c r="H7" s="6" t="s">
        <v>155</v>
      </c>
    </row>
    <row r="8" customFormat="false" ht="39.75" hidden="false" customHeight="true" outlineLevel="0" collapsed="false">
      <c r="B8" s="8" t="s">
        <v>156</v>
      </c>
      <c r="C8" s="8" t="s">
        <v>157</v>
      </c>
      <c r="D8" s="8" t="s">
        <v>158</v>
      </c>
      <c r="E8" s="8" t="s">
        <v>159</v>
      </c>
      <c r="F8" s="8" t="s">
        <v>160</v>
      </c>
      <c r="G8" s="8" t="s">
        <v>161</v>
      </c>
      <c r="H8" s="8" t="s">
        <v>162</v>
      </c>
    </row>
    <row r="9" customFormat="false" ht="45" hidden="false" customHeight="true" outlineLevel="0" collapsed="false">
      <c r="B9" s="7" t="n">
        <v>1</v>
      </c>
      <c r="C9" s="20"/>
      <c r="D9" s="20"/>
      <c r="E9" s="20"/>
      <c r="F9" s="20"/>
      <c r="G9" s="20"/>
      <c r="H9" s="20"/>
    </row>
    <row r="10" customFormat="false" ht="45" hidden="false" customHeight="true" outlineLevel="0" collapsed="false">
      <c r="B10" s="7" t="n">
        <v>2</v>
      </c>
      <c r="C10" s="20"/>
      <c r="D10" s="20"/>
      <c r="E10" s="20"/>
      <c r="F10" s="20"/>
      <c r="G10" s="20"/>
      <c r="H10" s="20"/>
    </row>
    <row r="11" customFormat="false" ht="45" hidden="false" customHeight="true" outlineLevel="0" collapsed="false">
      <c r="B11" s="7" t="n">
        <v>3</v>
      </c>
      <c r="C11" s="20"/>
      <c r="D11" s="20"/>
      <c r="E11" s="20"/>
      <c r="F11" s="20"/>
      <c r="G11" s="20"/>
      <c r="H11" s="20"/>
    </row>
    <row r="12" customFormat="false" ht="45" hidden="false" customHeight="true" outlineLevel="0" collapsed="false">
      <c r="B12" s="7" t="n">
        <v>4</v>
      </c>
      <c r="C12" s="20"/>
      <c r="D12" s="20"/>
      <c r="E12" s="20"/>
      <c r="F12" s="20"/>
      <c r="G12" s="20"/>
      <c r="H12" s="20"/>
    </row>
    <row r="13" customFormat="false" ht="45" hidden="false" customHeight="true" outlineLevel="0" collapsed="false">
      <c r="B13" s="7" t="n">
        <v>5</v>
      </c>
      <c r="C13" s="20"/>
      <c r="D13" s="20"/>
      <c r="E13" s="20"/>
      <c r="F13" s="20"/>
      <c r="G13" s="20"/>
      <c r="H13" s="20"/>
    </row>
    <row r="14" customFormat="false" ht="15" hidden="false" customHeight="false" outlineLevel="0" collapsed="false">
      <c r="B14" s="17" t="s">
        <v>163</v>
      </c>
    </row>
    <row r="16" customFormat="false" ht="84.75" hidden="false" customHeight="true" outlineLevel="0" collapsed="false">
      <c r="B16" s="8" t="s">
        <v>164</v>
      </c>
      <c r="C16" s="8"/>
      <c r="D16" s="20"/>
      <c r="E16" s="20"/>
      <c r="F16" s="20"/>
      <c r="G16" s="20"/>
      <c r="H16" s="20"/>
    </row>
    <row r="17" customFormat="false" ht="84.75" hidden="false" customHeight="true" outlineLevel="0" collapsed="false">
      <c r="B17" s="8" t="s">
        <v>165</v>
      </c>
      <c r="C17" s="8"/>
      <c r="D17" s="20"/>
      <c r="E17" s="20"/>
      <c r="F17" s="20"/>
      <c r="G17" s="20"/>
      <c r="H17" s="20"/>
    </row>
  </sheetData>
  <mergeCells count="6">
    <mergeCell ref="C4:H4"/>
    <mergeCell ref="C5:H5"/>
    <mergeCell ref="B16:C16"/>
    <mergeCell ref="D16:H16"/>
    <mergeCell ref="B17:C17"/>
    <mergeCell ref="D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2026-10-10T19:23:50Z</dcterms:created>
  <dc:creator>openpyxl</dc:creator>
  <dc:description/>
  <dc:language>en-US</dc:language>
  <cp:lastModifiedBy/>
  <dcterms:modified xsi:type="dcterms:W3CDTF">2026-10-10T19:23:50Z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