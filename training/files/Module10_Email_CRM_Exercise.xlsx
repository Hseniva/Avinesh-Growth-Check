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1_Campaign_Metrics" sheetId="2" state="visible" r:id="rId4"/>
    <sheet name="2_List_Health" sheetId="3" state="visible" r:id="rId5"/>
    <sheet name="3_RFM_Segments" sheetId="4" state="visible" r:id="rId6"/>
    <sheet name="4_AB_Test" sheetId="5" state="visible" r:id="rId7"/>
    <sheet name="5_Sequence_Pla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<sst xmlns="http://schemas.openxmlformats.org/spreadsheetml/2006/main" count="375" uniqueCount="276">
  <si>
    <t xml:space="preserve">Week 10 Excel exercise: Email Marketing &amp; CRM</t>
  </si>
  <si>
    <t xml:space="preserve">Lakaz Gato, cake shop in Rose Hill, Mauritius (fictional data). Digital Marketing &amp; AI, Oreegami Mauritius</t>
  </si>
  <si>
    <t xml:space="preserve">How to complete it</t>
  </si>
  <si>
    <t xml:space="preserve">1. Work through the 5 tabs in order. Each tab starts with a short brief.</t>
  </si>
  <si>
    <t xml:space="preserve">2. Type your answers in the YELLOW cells only. Do not change the data cells.</t>
  </si>
  <si>
    <t xml:space="preserve">3. Use Excel formulas wherever you calculate something (e.g. =D6-E6). Your trainer checks the formulas, not just the numbers.</t>
  </si>
  <si>
    <t xml:space="preserve">4. In each calculation table the first row is done for you as a worked example. Copy the formulas down.</t>
  </si>
  <si>
    <t xml:space="preserve">5. Formulas you will need: SUM, SUMIF, COUNTIF, AVERAGEIF, INDEX/MATCH, MAX, IF, IFS, AND, ROUND. Section numbers refer to the Week 10 guide.</t>
  </si>
  <si>
    <t xml:space="preserve">6. Save the file as Week10_YourName.xlsx and upload it on the platform. You will receive feedback by email.</t>
  </si>
  <si>
    <t xml:space="preserve">Scoring (out of 20)</t>
  </si>
  <si>
    <t xml:space="preserve">Tab</t>
  </si>
  <si>
    <t xml:space="preserve">What you practise</t>
  </si>
  <si>
    <t xml:space="preserve">Points</t>
  </si>
  <si>
    <t xml:space="preserve">1_Campaign_Metrics</t>
  </si>
  <si>
    <t xml:space="preserve">8 campaigns: delivery, open, click, CTOR, unsubscribe, conversion, revenue per recipient; best subject line (Sections 10, 25)</t>
  </si>
  <si>
    <t xml:space="preserve">2_List_Health</t>
  </si>
  <si>
    <t xml:space="preserve">6 months of list growth, bounces and inactive contacts (Sections 15, 25)</t>
  </si>
  <si>
    <t xml:space="preserve">3_RFM_Segments</t>
  </si>
  <si>
    <t xml:space="preserve">60 customers scored on Recency, Frequency, Money and placed in segments with IFS (Section 16)</t>
  </si>
  <si>
    <t xml:space="preserve">4_AB_Test</t>
  </si>
  <si>
    <t xml:space="preserve">Subject line A/B test: rates, uplift and decision (Section 26)</t>
  </si>
  <si>
    <t xml:space="preserve">5_Sequence_Plan</t>
  </si>
  <si>
    <t xml:space="preserve">Plan a 5-email sequence for one segment (Sections 10, 11, 18)</t>
  </si>
  <si>
    <t xml:space="preserve">Total</t>
  </si>
  <si>
    <t xml:space="preserve">Legend:</t>
  </si>
  <si>
    <t xml:space="preserve">Yellow cell = your answer</t>
  </si>
  <si>
    <t xml:space="preserve">Blue header = data</t>
  </si>
  <si>
    <t xml:space="preserve">Tab 1: Campaign results, April–September 2026</t>
  </si>
  <si>
    <t xml:space="preserve">Export from the email tool. Orders and revenue come from GA4 key events (UTM-tagged links). "Unique" = each person counted once.</t>
  </si>
  <si>
    <t xml:space="preserve">#</t>
  </si>
  <si>
    <t xml:space="preserve">Campaign</t>
  </si>
  <si>
    <t xml:space="preserve">Subject line</t>
  </si>
  <si>
    <t xml:space="preserve">Sent</t>
  </si>
  <si>
    <t xml:space="preserve">Bounced</t>
  </si>
  <si>
    <t xml:space="preserve">Unique opens</t>
  </si>
  <si>
    <t xml:space="preserve">Unique clicks</t>
  </si>
  <si>
    <t xml:space="preserve">Unsubscribes</t>
  </si>
  <si>
    <t xml:space="preserve">Orders</t>
  </si>
  <si>
    <t xml:space="preserve">Revenue (Rs)</t>
  </si>
  <si>
    <t xml:space="preserve">Delivered</t>
  </si>
  <si>
    <t xml:space="preserve">Delivery rate</t>
  </si>
  <si>
    <t xml:space="preserve">Open rate</t>
  </si>
  <si>
    <t xml:space="preserve">Click rate</t>
  </si>
  <si>
    <t xml:space="preserve">Click-to-open rate (CTOR)</t>
  </si>
  <si>
    <t xml:space="preserve">Unsubscribe rate</t>
  </si>
  <si>
    <t xml:space="preserve">Conversion rate (orders ÷ delivered)</t>
  </si>
  <si>
    <t xml:space="preserve">Revenue per recipient (Rs)</t>
  </si>
  <si>
    <t xml:space="preserve">Apr newsletter</t>
  </si>
  <si>
    <t xml:space="preserve">Lakaz Gato news – April</t>
  </si>
  <si>
    <t xml:space="preserve">Easter promo</t>
  </si>
  <si>
    <t xml:space="preserve">Easter chocolate cakes: order by Thursday</t>
  </si>
  <si>
    <t xml:space="preserve">Mother’s Day</t>
  </si>
  <si>
    <t xml:space="preserve">Spoil Maman: cakes from Rs 950, delivered Sunday</t>
  </si>
  <si>
    <t xml:space="preserve">Jun newsletter</t>
  </si>
  <si>
    <t xml:space="preserve">Newsletter June 2026</t>
  </si>
  <si>
    <t xml:space="preserve">Kids’ party guide</t>
  </si>
  <si>
    <t xml:space="preserve">10 kids’ birthday cakes (with prices)</t>
  </si>
  <si>
    <t xml:space="preserve">Flash sale</t>
  </si>
  <si>
    <t xml:space="preserve">LAST CHANCE!!! 20% OFF EVERYTHING!!!</t>
  </si>
  <si>
    <t xml:space="preserve">Wedding season</t>
  </si>
  <si>
    <t xml:space="preserve">Planning a wedding? Book a free tasting</t>
  </si>
  <si>
    <t xml:space="preserve">Sep newsletter</t>
  </si>
  <si>
    <t xml:space="preserve">Spring flavours are here: mango &amp; passion fruit</t>
  </si>
  <si>
    <t xml:space="preserve">Row 5 (Apr newsletter) is done for you. Copy the formulas down to every campaign. Complete the Total row too (it uses the totals, not an average of the rates).</t>
  </si>
  <si>
    <t xml:space="preserve">Questions (use INDEX/MATCH and MAX on your result columns)</t>
  </si>
  <si>
    <t xml:space="preserve">Q1. Which campaign has the highest click rate?</t>
  </si>
  <si>
    <t xml:space="preserve">Q2. Which campaign has the highest revenue per recipient?</t>
  </si>
  <si>
    <t xml:space="preserve">Q3. Which campaign has the highest unsubscribe rate?</t>
  </si>
  <si>
    <t xml:space="preserve">Q4. Subject line with the highest CTOR (return the subject line, column D)</t>
  </si>
  <si>
    <t xml:space="preserve">Q5. How many campaigns have a click rate above the overall click rate (Total row)?</t>
  </si>
  <si>
    <t xml:space="preserve">Q6. Total revenue from the 8 campaigns (Rs)</t>
  </si>
  <si>
    <t xml:space="preserve">Q7. Compare the 3 best and 3 worst subject lines. In 3–4 sentences: what do the best ones have in common, and why do we judge subject lines on clicks rather than opens?</t>
  </si>
  <si>
    <t xml:space="preserve">Q8. The wedding email has a low click rate but high revenue per recipient. In 2 sentences, how should Lakaz Gato use this result?</t>
  </si>
  <si>
    <t xml:space="preserve">Tab 2: List health, April–September 2026</t>
  </si>
  <si>
    <t xml:space="preserve">Monthly figures from the email tool. "Cleaned" = inactive contacts removed after the win-back series.</t>
  </si>
  <si>
    <t xml:space="preserve">Month</t>
  </si>
  <si>
    <t xml:space="preserve">List at start of month</t>
  </si>
  <si>
    <t xml:space="preserve">New subscribers</t>
  </si>
  <si>
    <t xml:space="preserve">Hard bounces</t>
  </si>
  <si>
    <t xml:space="preserve">Cleaned (inactive removed)</t>
  </si>
  <si>
    <t xml:space="preserve">Inactive contacts at month end (no click in 180 days)</t>
  </si>
  <si>
    <t xml:space="preserve">List at end of month</t>
  </si>
  <si>
    <t xml:space="preserve">Net change</t>
  </si>
  <si>
    <t xml:space="preserve">Net growth rate</t>
  </si>
  <si>
    <t xml:space="preserve">Inactive share of list</t>
  </si>
  <si>
    <t xml:space="preserve">Unsubscribes as % of new subscribers</t>
  </si>
  <si>
    <t xml:space="preserve">April 2026</t>
  </si>
  <si>
    <t xml:space="preserve">May 2026</t>
  </si>
  <si>
    <t xml:space="preserve">June 2026</t>
  </si>
  <si>
    <t xml:space="preserve">July 2026</t>
  </si>
  <si>
    <t xml:space="preserve">August 2026</t>
  </si>
  <si>
    <t xml:space="preserve">September 2026</t>
  </si>
  <si>
    <t xml:space="preserve">Row 5 (April) is done for you. The start of each month is linked to the end of the previous month (column C), so complete column I first.</t>
  </si>
  <si>
    <t xml:space="preserve">Questions</t>
  </si>
  <si>
    <t xml:space="preserve">Q1. List size at the end of September</t>
  </si>
  <si>
    <t xml:space="preserve">Q2. Total growth over 6 months (end of September ÷ start of April − 1)</t>
  </si>
  <si>
    <t xml:space="preserve">Q3. Month with the highest net growth rate</t>
  </si>
  <si>
    <t xml:space="preserve">Q4. Total hard bounces as % of total new subscribers (6 months)</t>
  </si>
  <si>
    <t xml:space="preserve">Q5. In September the list fell, yet the team says the list is "healthier". In 2–3 sentences, explain why, and say what to do next with hard bounces and inactive contacts.</t>
  </si>
  <si>
    <t xml:space="preserve">Tab 3: RFM segmentation of 60 customers</t>
  </si>
  <si>
    <t xml:space="preserve">Orders from 1 October 2025 to 30 September 2026 (shop, website and WhatsApp, logged in the CRM). Reference date in C4.</t>
  </si>
  <si>
    <t xml:space="preserve">Reference date</t>
  </si>
  <si>
    <t xml:space="preserve">Scoring rules (use IFS or nested IF)</t>
  </si>
  <si>
    <t xml:space="preserve">R score (Recency)</t>
  </si>
  <si>
    <t xml:space="preserve">3 if days since last order ≤ 30 · 2 if ≤ 90 · 1 otherwise</t>
  </si>
  <si>
    <t xml:space="preserve">F score (Frequency)</t>
  </si>
  <si>
    <t xml:space="preserve">3 if 6 orders or more · 2 if 3–5 orders · 1 if 1–2 orders</t>
  </si>
  <si>
    <t xml:space="preserve">M score (Money)</t>
  </si>
  <si>
    <t xml:space="preserve">3 if total spend ≥ Rs 15,000 · 2 if ≥ Rs 6,000 · 1 otherwise</t>
  </si>
  <si>
    <t xml:space="preserve">Segment</t>
  </si>
  <si>
    <t xml:space="preserve">Champions: R=3 and F=3 · New: R=3 and F=1 · Loyal: R≥2 and F≥2 (not Champions) · At risk: R=1 and F≥2 · Hibernating: everyone else</t>
  </si>
  <si>
    <t xml:space="preserve">Hint</t>
  </si>
  <si>
    <t xml:space="preserve">Check the segments in this order: Champions, New, Loyal, At risk, then Hibernating as the last (TRUE) condition.</t>
  </si>
  <si>
    <t xml:space="preserve">Row 14 is done for you as an example. Copy the formulas in columns H to M down to row 73.</t>
  </si>
  <si>
    <t xml:space="preserve">ID</t>
  </si>
  <si>
    <t xml:space="preserve">Customer</t>
  </si>
  <si>
    <t xml:space="preserve">Town</t>
  </si>
  <si>
    <t xml:space="preserve">Last order date</t>
  </si>
  <si>
    <t xml:space="preserve">Orders (12 months)</t>
  </si>
  <si>
    <t xml:space="preserve">Total spend (Rs)</t>
  </si>
  <si>
    <t xml:space="preserve">Days since last order</t>
  </si>
  <si>
    <t xml:space="preserve">R score</t>
  </si>
  <si>
    <t xml:space="preserve">F score</t>
  </si>
  <si>
    <t xml:space="preserve">M score</t>
  </si>
  <si>
    <t xml:space="preserve">RFM total</t>
  </si>
  <si>
    <t xml:space="preserve">Customers</t>
  </si>
  <si>
    <t xml:space="preserve">Average spend (Rs)</t>
  </si>
  <si>
    <t xml:space="preserve">% of customers</t>
  </si>
  <si>
    <t xml:space="preserve">C001</t>
  </si>
  <si>
    <t xml:space="preserve">Anjali Ramdin</t>
  </si>
  <si>
    <t xml:space="preserve">Vacoas</t>
  </si>
  <si>
    <t xml:space="preserve">Champions</t>
  </si>
  <si>
    <t xml:space="preserve">C002</t>
  </si>
  <si>
    <t xml:space="preserve">Kevin Peerbux</t>
  </si>
  <si>
    <t xml:space="preserve">Ebène</t>
  </si>
  <si>
    <t xml:space="preserve">Loyal</t>
  </si>
  <si>
    <t xml:space="preserve">C003</t>
  </si>
  <si>
    <t xml:space="preserve">Priya Jhurry</t>
  </si>
  <si>
    <t xml:space="preserve">Floréal</t>
  </si>
  <si>
    <t xml:space="preserve">New</t>
  </si>
  <si>
    <t xml:space="preserve">C004</t>
  </si>
  <si>
    <t xml:space="preserve">Jean-Marc Perrine</t>
  </si>
  <si>
    <t xml:space="preserve">Curepipe</t>
  </si>
  <si>
    <t xml:space="preserve">At risk</t>
  </si>
  <si>
    <t xml:space="preserve">C005</t>
  </si>
  <si>
    <t xml:space="preserve">Nadia Lebon</t>
  </si>
  <si>
    <t xml:space="preserve">Quatre Bornes</t>
  </si>
  <si>
    <t xml:space="preserve">Hibernating</t>
  </si>
  <si>
    <t xml:space="preserve">C006</t>
  </si>
  <si>
    <t xml:space="preserve">Ravi Seetohul</t>
  </si>
  <si>
    <t xml:space="preserve">C007</t>
  </si>
  <si>
    <t xml:space="preserve">Sophie Doorgah</t>
  </si>
  <si>
    <t xml:space="preserve">C008</t>
  </si>
  <si>
    <t xml:space="preserve">Yusuf Joomun</t>
  </si>
  <si>
    <t xml:space="preserve">C009</t>
  </si>
  <si>
    <t xml:space="preserve">Melissa Ramphul</t>
  </si>
  <si>
    <t xml:space="preserve">Q1. Segment with the highest total spend</t>
  </si>
  <si>
    <t xml:space="preserve">C010</t>
  </si>
  <si>
    <t xml:space="preserve">Dev Laval</t>
  </si>
  <si>
    <t xml:space="preserve">Q2. Share of total spend from Champions</t>
  </si>
  <si>
    <t xml:space="preserve">C011</t>
  </si>
  <si>
    <t xml:space="preserve">Aurélie Rivet</t>
  </si>
  <si>
    <t xml:space="preserve">Port Louis</t>
  </si>
  <si>
    <t xml:space="preserve">Q3. How many customers have an RFM total of 8 or 9?</t>
  </si>
  <si>
    <t xml:space="preserve">C012</t>
  </si>
  <si>
    <t xml:space="preserve">Vikash Bhujun</t>
  </si>
  <si>
    <t xml:space="preserve">Rose Hill</t>
  </si>
  <si>
    <t xml:space="preserve">Q4. Total spend of "At risk" customers (Rs): what a win-back could protect</t>
  </si>
  <si>
    <t xml:space="preserve">C013</t>
  </si>
  <si>
    <t xml:space="preserve">Karishma Gungah</t>
  </si>
  <si>
    <t xml:space="preserve">Q5. For the "At risk" and "Champions" segments, describe in 2–3 sentences what you would send each one and why.</t>
  </si>
  <si>
    <t xml:space="preserve">C014</t>
  </si>
  <si>
    <t xml:space="preserve">Olivier Li Kwong</t>
  </si>
  <si>
    <t xml:space="preserve">C015</t>
  </si>
  <si>
    <t xml:space="preserve">Shabnam Ah-Kee</t>
  </si>
  <si>
    <t xml:space="preserve">C016</t>
  </si>
  <si>
    <t xml:space="preserve">Ludovic Ramdin</t>
  </si>
  <si>
    <t xml:space="preserve">Phoenix</t>
  </si>
  <si>
    <t xml:space="preserve">C017</t>
  </si>
  <si>
    <t xml:space="preserve">Pooja Peerbux</t>
  </si>
  <si>
    <t xml:space="preserve">C018</t>
  </si>
  <si>
    <t xml:space="preserve">Feroz Jhurry</t>
  </si>
  <si>
    <t xml:space="preserve">Moka</t>
  </si>
  <si>
    <t xml:space="preserve">C019</t>
  </si>
  <si>
    <t xml:space="preserve">Christelle Perrine</t>
  </si>
  <si>
    <t xml:space="preserve">C020</t>
  </si>
  <si>
    <t xml:space="preserve">Ashwin Lebon</t>
  </si>
  <si>
    <t xml:space="preserve">C021</t>
  </si>
  <si>
    <t xml:space="preserve">Nathalie Seetohul</t>
  </si>
  <si>
    <t xml:space="preserve">C022</t>
  </si>
  <si>
    <t xml:space="preserve">Imran Doorgah</t>
  </si>
  <si>
    <t xml:space="preserve">C023</t>
  </si>
  <si>
    <t xml:space="preserve">Deepa Joomun</t>
  </si>
  <si>
    <t xml:space="preserve">C024</t>
  </si>
  <si>
    <t xml:space="preserve">Fabrice Ramphul</t>
  </si>
  <si>
    <t xml:space="preserve">Beau Bassin</t>
  </si>
  <si>
    <t xml:space="preserve">C025</t>
  </si>
  <si>
    <t xml:space="preserve">Reshma Laval</t>
  </si>
  <si>
    <t xml:space="preserve">C026</t>
  </si>
  <si>
    <t xml:space="preserve">Steeve Rivet</t>
  </si>
  <si>
    <t xml:space="preserve">C027</t>
  </si>
  <si>
    <t xml:space="preserve">Kavita Bhujun</t>
  </si>
  <si>
    <t xml:space="preserve">C028</t>
  </si>
  <si>
    <t xml:space="preserve">Bilal Gungah</t>
  </si>
  <si>
    <t xml:space="preserve">C029</t>
  </si>
  <si>
    <t xml:space="preserve">Emilie Li Kwong</t>
  </si>
  <si>
    <t xml:space="preserve">C030</t>
  </si>
  <si>
    <t xml:space="preserve">Sanjay Ah-Kee</t>
  </si>
  <si>
    <t xml:space="preserve">C031</t>
  </si>
  <si>
    <t xml:space="preserve">C032</t>
  </si>
  <si>
    <t xml:space="preserve">C033</t>
  </si>
  <si>
    <t xml:space="preserve">C034</t>
  </si>
  <si>
    <t xml:space="preserve">C035</t>
  </si>
  <si>
    <t xml:space="preserve">C036</t>
  </si>
  <si>
    <t xml:space="preserve">C037</t>
  </si>
  <si>
    <t xml:space="preserve">C038</t>
  </si>
  <si>
    <t xml:space="preserve">C039</t>
  </si>
  <si>
    <t xml:space="preserve">C040</t>
  </si>
  <si>
    <t xml:space="preserve">C041</t>
  </si>
  <si>
    <t xml:space="preserve">C042</t>
  </si>
  <si>
    <t xml:space="preserve">C043</t>
  </si>
  <si>
    <t xml:space="preserve">C044</t>
  </si>
  <si>
    <t xml:space="preserve">C045</t>
  </si>
  <si>
    <t xml:space="preserve">C046</t>
  </si>
  <si>
    <t xml:space="preserve">C047</t>
  </si>
  <si>
    <t xml:space="preserve">C048</t>
  </si>
  <si>
    <t xml:space="preserve">C049</t>
  </si>
  <si>
    <t xml:space="preserve">C050</t>
  </si>
  <si>
    <t xml:space="preserve">C051</t>
  </si>
  <si>
    <t xml:space="preserve">C052</t>
  </si>
  <si>
    <t xml:space="preserve">C053</t>
  </si>
  <si>
    <t xml:space="preserve">C054</t>
  </si>
  <si>
    <t xml:space="preserve">C055</t>
  </si>
  <si>
    <t xml:space="preserve">C056</t>
  </si>
  <si>
    <t xml:space="preserve">C057</t>
  </si>
  <si>
    <t xml:space="preserve">C058</t>
  </si>
  <si>
    <t xml:space="preserve">C059</t>
  </si>
  <si>
    <t xml:space="preserve">C060</t>
  </si>
  <si>
    <t xml:space="preserve">Tab 4: Subject line A/B test (Divali sweets box, October 2026)</t>
  </si>
  <si>
    <t xml:space="preserve">The list was split randomly 50/50. Winning metric agreed before the test: click rate.</t>
  </si>
  <si>
    <t xml:space="preserve">Version</t>
  </si>
  <si>
    <t xml:space="preserve">CTOR</t>
  </si>
  <si>
    <t xml:space="preserve">A</t>
  </si>
  <si>
    <t xml:space="preserve">Our Divali sweets are back</t>
  </si>
  <si>
    <t xml:space="preserve">B</t>
  </si>
  <si>
    <t xml:space="preserve">Divali sweets from Rs 350: pre-order now</t>
  </si>
  <si>
    <t xml:space="preserve">Row 5 (version A) is done for you. Complete version B.</t>
  </si>
  <si>
    <t xml:space="preserve">Q1. Uplift in click rate of B over A: (B − A) ÷ A</t>
  </si>
  <si>
    <t xml:space="preserve">Q2. Uplift in revenue per recipient of B over A</t>
  </si>
  <si>
    <t xml:space="preserve">Q3. Winning version on the agreed metric (use IF)</t>
  </si>
  <si>
    <t xml:space="preserve">Q4. Which version had the higher open rate? (opens ÷ delivered, use IF)</t>
  </si>
  <si>
    <t xml:space="preserve">Q5. A had more opens but B won. In 2–3 sentences: why can that happen, what did you learn about the subject line, and what would you test next?</t>
  </si>
  <si>
    <t xml:space="preserve">Tab 5: Plan a 5-email sequence</t>
  </si>
  <si>
    <t xml:space="preserve">Choose ONE: (a) welcome series for new subscribers, (b) win-back for the "At risk" segment from Tab 3, or (c) a sequence for a real business you know.</t>
  </si>
  <si>
    <t xml:space="preserve">Business and sequence chosen</t>
  </si>
  <si>
    <t xml:space="preserve">Trigger (what starts it)</t>
  </si>
  <si>
    <t xml:space="preserve">Segment / who receives it</t>
  </si>
  <si>
    <t xml:space="preserve">Exit condition (when someone leaves)</t>
  </si>
  <si>
    <t xml:space="preserve">Main KPI and target</t>
  </si>
  <si>
    <t xml:space="preserve">Email</t>
  </si>
  <si>
    <t xml:space="preserve">Day / timing</t>
  </si>
  <si>
    <t xml:space="preserve">Goal of this email</t>
  </si>
  <si>
    <t xml:space="preserve">Preheader</t>
  </si>
  <si>
    <t xml:space="preserve">Main message (2–3 lines)</t>
  </si>
  <si>
    <t xml:space="preserve">CTA button text</t>
  </si>
  <si>
    <t xml:space="preserve">Subject length (characters)</t>
  </si>
  <si>
    <t xml:space="preserve">Column I counts the characters of your subject line automatically. Aim for roughly 30–50 characters, important words first (Section 10).</t>
  </si>
  <si>
    <t xml:space="preserve">Example of a good line (for a welcome series, do not copy it):</t>
  </si>
  <si>
    <t xml:space="preserve">e.g.</t>
  </si>
  <si>
    <t xml:space="preserve">Day 0, immediately</t>
  </si>
  <si>
    <t xml:space="preserve">Deliver the guide, set expectations</t>
  </si>
  <si>
    <t xml:space="preserve">Welcome! Your 10 birthday cake ideas are inside</t>
  </si>
  <si>
    <t xml:space="preserve">Plus how ordering works (2 minutes)</t>
  </si>
  <si>
    <t xml:space="preserve">Thanks for joining. Here are our 10 most-loved kids’ cakes from Rs 1,200. Order online or on WhatsApp.</t>
  </si>
  <si>
    <t xml:space="preserve">See the 10 ideas</t>
  </si>
  <si>
    <t xml:space="preserve">Q. In 2–3 sentences, explain how this sequence respects consent and deliverability (opt-in, unsubscribe, frequency, segment).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</si>
</sst>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0%"/>
    <numFmt numFmtId="168" formatCode="#,##0.00"/>
    <numFmt numFmtId="169" formatCode="yyyy\-mm\-dd"/>
    <numFmt numFmtId="170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10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8F5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80"/>
    <col collapsed="false" customWidth="true" hidden="false" outlineLevel="0" max="4" min="4" style="0" width="1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  <c r="D4" s="4"/>
      <c r="E4" s="4"/>
    </row>
    <row r="5" customFormat="false" ht="15" hidden="false" customHeight="false" outlineLevel="0" collapsed="false">
      <c r="B5" s="5" t="s">
        <v>3</v>
      </c>
    </row>
    <row r="6" customFormat="false" ht="15" hidden="false" customHeight="false" outlineLevel="0" collapsed="false">
      <c r="B6" s="5" t="s">
        <v>4</v>
      </c>
    </row>
    <row r="7" customFormat="false" ht="15" hidden="false" customHeight="false" outlineLevel="0" collapsed="false">
      <c r="B7" s="5" t="s">
        <v>5</v>
      </c>
    </row>
    <row r="8" customFormat="false" ht="15" hidden="false" customHeight="false" outlineLevel="0" collapsed="false">
      <c r="B8" s="5" t="s">
        <v>6</v>
      </c>
    </row>
    <row r="9" customFormat="false" ht="15" hidden="false" customHeight="false" outlineLevel="0" collapsed="false">
      <c r="B9" s="5" t="s">
        <v>7</v>
      </c>
    </row>
    <row r="10" customFormat="false" ht="15" hidden="false" customHeight="false" outlineLevel="0" collapsed="false">
      <c r="B10" s="5" t="s">
        <v>8</v>
      </c>
    </row>
    <row r="12" customFormat="false" ht="15" hidden="false" customHeight="false" outlineLevel="0" collapsed="false">
      <c r="B12" s="3" t="s">
        <v>9</v>
      </c>
      <c r="C12" s="4"/>
      <c r="D12" s="4"/>
      <c r="E12" s="4"/>
    </row>
    <row r="13" customFormat="false" ht="15" hidden="false" customHeight="false" outlineLevel="0" collapsed="false">
      <c r="B13" s="6" t="s">
        <v>10</v>
      </c>
      <c r="C13" s="6" t="s">
        <v>11</v>
      </c>
      <c r="D13" s="6" t="s">
        <v>12</v>
      </c>
    </row>
    <row r="14" customFormat="false" ht="27.75" hidden="false" customHeight="true" outlineLevel="0" collapsed="false">
      <c r="B14" s="7" t="s">
        <v>13</v>
      </c>
      <c r="C14" s="8" t="s">
        <v>14</v>
      </c>
      <c r="D14" s="9" t="n">
        <v>6</v>
      </c>
    </row>
    <row r="15" customFormat="false" ht="27.75" hidden="false" customHeight="true" outlineLevel="0" collapsed="false">
      <c r="B15" s="7" t="s">
        <v>15</v>
      </c>
      <c r="C15" s="8" t="s">
        <v>16</v>
      </c>
      <c r="D15" s="9" t="n">
        <v>3</v>
      </c>
    </row>
    <row r="16" customFormat="false" ht="27.75" hidden="false" customHeight="true" outlineLevel="0" collapsed="false">
      <c r="B16" s="7" t="s">
        <v>17</v>
      </c>
      <c r="C16" s="8" t="s">
        <v>18</v>
      </c>
      <c r="D16" s="9" t="n">
        <v>5</v>
      </c>
    </row>
    <row r="17" customFormat="false" ht="27.75" hidden="false" customHeight="true" outlineLevel="0" collapsed="false">
      <c r="B17" s="7" t="s">
        <v>19</v>
      </c>
      <c r="C17" s="8" t="s">
        <v>20</v>
      </c>
      <c r="D17" s="9" t="n">
        <v>2</v>
      </c>
    </row>
    <row r="18" customFormat="false" ht="27.75" hidden="false" customHeight="true" outlineLevel="0" collapsed="false">
      <c r="B18" s="7" t="s">
        <v>21</v>
      </c>
      <c r="C18" s="8" t="s">
        <v>22</v>
      </c>
      <c r="D18" s="9" t="n">
        <v>4</v>
      </c>
    </row>
    <row r="19" customFormat="false" ht="15" hidden="false" customHeight="false" outlineLevel="0" collapsed="false">
      <c r="B19" s="7" t="s">
        <v>23</v>
      </c>
      <c r="D19" s="7" t="n">
        <f aca="false">SUM(D14:D18)</f>
        <v>20</v>
      </c>
    </row>
    <row r="21" customFormat="false" ht="15" hidden="false" customHeight="false" outlineLevel="0" collapsed="false">
      <c r="B21" s="10" t="s">
        <v>24</v>
      </c>
      <c r="C21" s="11" t="s">
        <v>25</v>
      </c>
      <c r="D21" s="1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17"/>
    <col collapsed="false" customWidth="true" hidden="false" outlineLevel="0" max="4" min="4" style="0" width="38"/>
    <col collapsed="false" customWidth="true" hidden="false" outlineLevel="0" max="11" min="5" style="0" width="10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5" min="14" style="0" width="9"/>
    <col collapsed="false" customWidth="true" hidden="false" outlineLevel="0" max="17" min="16" style="0" width="11"/>
    <col collapsed="false" customWidth="true" hidden="false" outlineLevel="0" max="18" min="18" style="0" width="13"/>
    <col collapsed="false" customWidth="true" hidden="false" outlineLevel="0" max="19" min="19" style="0" width="12"/>
  </cols>
  <sheetData>
    <row r="1" customFormat="false" ht="17.35" hidden="false" customHeight="false" outlineLevel="0" collapsed="false">
      <c r="B1" s="1" t="s">
        <v>27</v>
      </c>
    </row>
    <row r="2" customFormat="false" ht="15" hidden="false" customHeight="false" outlineLevel="0" collapsed="false">
      <c r="B2" s="2" t="s">
        <v>28</v>
      </c>
    </row>
    <row r="4" customFormat="false" ht="54.75" hidden="false" customHeight="true" outlineLevel="0" collapsed="false"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  <c r="J4" s="6" t="s">
        <v>37</v>
      </c>
      <c r="K4" s="6" t="s">
        <v>38</v>
      </c>
      <c r="L4" s="6" t="s">
        <v>39</v>
      </c>
      <c r="M4" s="6" t="s">
        <v>40</v>
      </c>
      <c r="N4" s="6" t="s">
        <v>41</v>
      </c>
      <c r="O4" s="6" t="s">
        <v>42</v>
      </c>
      <c r="P4" s="6" t="s">
        <v>43</v>
      </c>
      <c r="Q4" s="6" t="s">
        <v>44</v>
      </c>
      <c r="R4" s="6" t="s">
        <v>45</v>
      </c>
      <c r="S4" s="6" t="s">
        <v>46</v>
      </c>
    </row>
    <row r="5" customFormat="false" ht="15" hidden="false" customHeight="false" outlineLevel="0" collapsed="false">
      <c r="B5" s="9" t="n">
        <v>1</v>
      </c>
      <c r="C5" s="9" t="s">
        <v>47</v>
      </c>
      <c r="D5" s="8" t="s">
        <v>48</v>
      </c>
      <c r="E5" s="13" t="n">
        <v>1180</v>
      </c>
      <c r="F5" s="13" t="n">
        <v>22</v>
      </c>
      <c r="G5" s="13" t="n">
        <v>472</v>
      </c>
      <c r="H5" s="13" t="n">
        <v>31</v>
      </c>
      <c r="I5" s="13" t="n">
        <v>4</v>
      </c>
      <c r="J5" s="13" t="n">
        <v>3</v>
      </c>
      <c r="K5" s="13" t="n">
        <v>4200</v>
      </c>
      <c r="L5" s="14" t="n">
        <f aca="false">E5-F5</f>
        <v>1158</v>
      </c>
      <c r="M5" s="15" t="n">
        <f aca="false">L5/E5</f>
        <v>0.98135593220339</v>
      </c>
      <c r="N5" s="15" t="n">
        <f aca="false">G5/L5</f>
        <v>0.407599309153713</v>
      </c>
      <c r="O5" s="15" t="n">
        <f aca="false">H5/L5</f>
        <v>0.0267702936096719</v>
      </c>
      <c r="P5" s="15" t="n">
        <f aca="false">H5/G5</f>
        <v>0.0656779661016949</v>
      </c>
      <c r="Q5" s="16" t="n">
        <f aca="false">I5/L5</f>
        <v>0.00345423143350604</v>
      </c>
      <c r="R5" s="16" t="n">
        <f aca="false">J5/L5</f>
        <v>0.00259067357512953</v>
      </c>
      <c r="S5" s="17" t="n">
        <f aca="false">K5/L5</f>
        <v>3.62694300518135</v>
      </c>
    </row>
    <row r="6" customFormat="false" ht="15" hidden="false" customHeight="false" outlineLevel="0" collapsed="false">
      <c r="B6" s="9" t="n">
        <v>2</v>
      </c>
      <c r="C6" s="9" t="s">
        <v>49</v>
      </c>
      <c r="D6" s="8" t="s">
        <v>50</v>
      </c>
      <c r="E6" s="13" t="n">
        <v>1210</v>
      </c>
      <c r="F6" s="13" t="n">
        <v>19</v>
      </c>
      <c r="G6" s="13" t="n">
        <v>532</v>
      </c>
      <c r="H6" s="13" t="n">
        <v>61</v>
      </c>
      <c r="I6" s="13" t="n">
        <v>5</v>
      </c>
      <c r="J6" s="13" t="n">
        <v>9</v>
      </c>
      <c r="K6" s="13" t="n">
        <v>13500</v>
      </c>
      <c r="L6" s="14"/>
      <c r="M6" s="15"/>
      <c r="N6" s="15"/>
      <c r="O6" s="15"/>
      <c r="P6" s="15"/>
      <c r="Q6" s="16"/>
      <c r="R6" s="16"/>
      <c r="S6" s="17"/>
    </row>
    <row r="7" customFormat="false" ht="23.85" hidden="false" customHeight="false" outlineLevel="0" collapsed="false">
      <c r="B7" s="9" t="n">
        <v>3</v>
      </c>
      <c r="C7" s="9" t="s">
        <v>51</v>
      </c>
      <c r="D7" s="8" t="s">
        <v>52</v>
      </c>
      <c r="E7" s="13" t="n">
        <v>1260</v>
      </c>
      <c r="F7" s="13" t="n">
        <v>21</v>
      </c>
      <c r="G7" s="13" t="n">
        <v>580</v>
      </c>
      <c r="H7" s="13" t="n">
        <v>88</v>
      </c>
      <c r="I7" s="13" t="n">
        <v>3</v>
      </c>
      <c r="J7" s="13" t="n">
        <v>17</v>
      </c>
      <c r="K7" s="13" t="n">
        <v>27900</v>
      </c>
      <c r="L7" s="14"/>
      <c r="M7" s="15"/>
      <c r="N7" s="15"/>
      <c r="O7" s="15"/>
      <c r="P7" s="15"/>
      <c r="Q7" s="16"/>
      <c r="R7" s="16"/>
      <c r="S7" s="17"/>
    </row>
    <row r="8" customFormat="false" ht="15" hidden="false" customHeight="false" outlineLevel="0" collapsed="false">
      <c r="B8" s="9" t="n">
        <v>4</v>
      </c>
      <c r="C8" s="9" t="s">
        <v>53</v>
      </c>
      <c r="D8" s="8" t="s">
        <v>54</v>
      </c>
      <c r="E8" s="13" t="n">
        <v>1290</v>
      </c>
      <c r="F8" s="13" t="n">
        <v>28</v>
      </c>
      <c r="G8" s="13" t="n">
        <v>490</v>
      </c>
      <c r="H8" s="13" t="n">
        <v>26</v>
      </c>
      <c r="I8" s="13" t="n">
        <v>7</v>
      </c>
      <c r="J8" s="13" t="n">
        <v>2</v>
      </c>
      <c r="K8" s="13" t="n">
        <v>2900</v>
      </c>
      <c r="L8" s="14"/>
      <c r="M8" s="15"/>
      <c r="N8" s="15"/>
      <c r="O8" s="15"/>
      <c r="P8" s="15"/>
      <c r="Q8" s="16"/>
      <c r="R8" s="16"/>
      <c r="S8" s="17"/>
    </row>
    <row r="9" customFormat="false" ht="15" hidden="false" customHeight="false" outlineLevel="0" collapsed="false">
      <c r="B9" s="9" t="n">
        <v>5</v>
      </c>
      <c r="C9" s="9" t="s">
        <v>55</v>
      </c>
      <c r="D9" s="8" t="s">
        <v>56</v>
      </c>
      <c r="E9" s="13" t="n">
        <v>1335</v>
      </c>
      <c r="F9" s="13" t="n">
        <v>18</v>
      </c>
      <c r="G9" s="13" t="n">
        <v>627</v>
      </c>
      <c r="H9" s="13" t="n">
        <v>94</v>
      </c>
      <c r="I9" s="13" t="n">
        <v>4</v>
      </c>
      <c r="J9" s="13" t="n">
        <v>12</v>
      </c>
      <c r="K9" s="13" t="n">
        <v>17400</v>
      </c>
      <c r="L9" s="14"/>
      <c r="M9" s="15"/>
      <c r="N9" s="15"/>
      <c r="O9" s="15"/>
      <c r="P9" s="15"/>
      <c r="Q9" s="16"/>
      <c r="R9" s="16"/>
      <c r="S9" s="17"/>
    </row>
    <row r="10" customFormat="false" ht="15" hidden="false" customHeight="false" outlineLevel="0" collapsed="false">
      <c r="B10" s="9" t="n">
        <v>6</v>
      </c>
      <c r="C10" s="9" t="s">
        <v>57</v>
      </c>
      <c r="D10" s="8" t="s">
        <v>58</v>
      </c>
      <c r="E10" s="13" t="n">
        <v>1350</v>
      </c>
      <c r="F10" s="13" t="n">
        <v>24</v>
      </c>
      <c r="G10" s="13" t="n">
        <v>486</v>
      </c>
      <c r="H10" s="13" t="n">
        <v>35</v>
      </c>
      <c r="I10" s="13" t="n">
        <v>15</v>
      </c>
      <c r="J10" s="13" t="n">
        <v>6</v>
      </c>
      <c r="K10" s="13" t="n">
        <v>6600</v>
      </c>
      <c r="L10" s="14"/>
      <c r="M10" s="15"/>
      <c r="N10" s="15"/>
      <c r="O10" s="15"/>
      <c r="P10" s="15"/>
      <c r="Q10" s="16"/>
      <c r="R10" s="16"/>
      <c r="S10" s="17"/>
    </row>
    <row r="11" customFormat="false" ht="15" hidden="false" customHeight="false" outlineLevel="0" collapsed="false">
      <c r="B11" s="9" t="n">
        <v>7</v>
      </c>
      <c r="C11" s="9" t="s">
        <v>59</v>
      </c>
      <c r="D11" s="8" t="s">
        <v>60</v>
      </c>
      <c r="E11" s="13" t="n">
        <v>1380</v>
      </c>
      <c r="F11" s="13" t="n">
        <v>17</v>
      </c>
      <c r="G11" s="13" t="n">
        <v>594</v>
      </c>
      <c r="H11" s="13" t="n">
        <v>52</v>
      </c>
      <c r="I11" s="13" t="n">
        <v>3</v>
      </c>
      <c r="J11" s="13" t="n">
        <v>4</v>
      </c>
      <c r="K11" s="13" t="n">
        <v>46000</v>
      </c>
      <c r="L11" s="14"/>
      <c r="M11" s="15"/>
      <c r="N11" s="15"/>
      <c r="O11" s="15"/>
      <c r="P11" s="15"/>
      <c r="Q11" s="16"/>
      <c r="R11" s="16"/>
      <c r="S11" s="17"/>
    </row>
    <row r="12" customFormat="false" ht="23.85" hidden="false" customHeight="false" outlineLevel="0" collapsed="false">
      <c r="B12" s="9" t="n">
        <v>8</v>
      </c>
      <c r="C12" s="9" t="s">
        <v>61</v>
      </c>
      <c r="D12" s="8" t="s">
        <v>62</v>
      </c>
      <c r="E12" s="13" t="n">
        <v>1420</v>
      </c>
      <c r="F12" s="13" t="n">
        <v>20</v>
      </c>
      <c r="G12" s="13" t="n">
        <v>653</v>
      </c>
      <c r="H12" s="13" t="n">
        <v>79</v>
      </c>
      <c r="I12" s="13" t="n">
        <v>5</v>
      </c>
      <c r="J12" s="13" t="n">
        <v>10</v>
      </c>
      <c r="K12" s="13" t="n">
        <v>14800</v>
      </c>
      <c r="L12" s="14"/>
      <c r="M12" s="15"/>
      <c r="N12" s="15"/>
      <c r="O12" s="15"/>
      <c r="P12" s="15"/>
      <c r="Q12" s="16"/>
      <c r="R12" s="16"/>
      <c r="S12" s="17"/>
    </row>
    <row r="13" customFormat="false" ht="15" hidden="false" customHeight="false" outlineLevel="0" collapsed="false">
      <c r="C13" s="7" t="s">
        <v>23</v>
      </c>
      <c r="E13" s="18" t="n">
        <f aca="false">SUM(E5:E12)</f>
        <v>10425</v>
      </c>
      <c r="F13" s="18" t="n">
        <f aca="false">SUM(F5:F12)</f>
        <v>169</v>
      </c>
      <c r="G13" s="18" t="n">
        <f aca="false">SUM(G5:G12)</f>
        <v>4434</v>
      </c>
      <c r="H13" s="18" t="n">
        <f aca="false">SUM(H5:H12)</f>
        <v>466</v>
      </c>
      <c r="I13" s="18" t="n">
        <f aca="false">SUM(I5:I12)</f>
        <v>46</v>
      </c>
      <c r="J13" s="18" t="n">
        <f aca="false">SUM(J5:J12)</f>
        <v>63</v>
      </c>
      <c r="K13" s="18" t="n">
        <f aca="false">SUM(K5:K12)</f>
        <v>133300</v>
      </c>
      <c r="L13" s="14"/>
      <c r="M13" s="15"/>
      <c r="N13" s="15"/>
      <c r="O13" s="15"/>
      <c r="P13" s="15"/>
      <c r="Q13" s="16"/>
      <c r="R13" s="16"/>
      <c r="S13" s="17"/>
    </row>
    <row r="14" customFormat="false" ht="15" hidden="false" customHeight="false" outlineLevel="0" collapsed="false">
      <c r="B14" s="19" t="s">
        <v>63</v>
      </c>
    </row>
    <row r="16" customFormat="false" ht="15" hidden="false" customHeight="false" outlineLevel="0" collapsed="false">
      <c r="B16" s="3" t="s">
        <v>64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customFormat="false" ht="30" hidden="false" customHeight="true" outlineLevel="0" collapsed="false">
      <c r="B17" s="8" t="s">
        <v>65</v>
      </c>
      <c r="C17" s="8"/>
      <c r="D17" s="8"/>
      <c r="E17" s="8"/>
      <c r="F17" s="8"/>
      <c r="G17" s="8"/>
      <c r="H17" s="8"/>
      <c r="I17" s="11"/>
      <c r="J17" s="11"/>
      <c r="K17" s="11"/>
    </row>
    <row r="18" customFormat="false" ht="30" hidden="false" customHeight="true" outlineLevel="0" collapsed="false">
      <c r="B18" s="8" t="s">
        <v>66</v>
      </c>
      <c r="C18" s="8"/>
      <c r="D18" s="8"/>
      <c r="E18" s="8"/>
      <c r="F18" s="8"/>
      <c r="G18" s="8"/>
      <c r="H18" s="8"/>
      <c r="I18" s="11"/>
      <c r="J18" s="11"/>
      <c r="K18" s="11"/>
    </row>
    <row r="19" customFormat="false" ht="30" hidden="false" customHeight="true" outlineLevel="0" collapsed="false">
      <c r="B19" s="8" t="s">
        <v>67</v>
      </c>
      <c r="C19" s="8"/>
      <c r="D19" s="8"/>
      <c r="E19" s="8"/>
      <c r="F19" s="8"/>
      <c r="G19" s="8"/>
      <c r="H19" s="8"/>
      <c r="I19" s="11"/>
      <c r="J19" s="11"/>
      <c r="K19" s="11"/>
    </row>
    <row r="20" customFormat="false" ht="30" hidden="false" customHeight="true" outlineLevel="0" collapsed="false">
      <c r="B20" s="8" t="s">
        <v>68</v>
      </c>
      <c r="C20" s="8"/>
      <c r="D20" s="8"/>
      <c r="E20" s="8"/>
      <c r="F20" s="8"/>
      <c r="G20" s="8"/>
      <c r="H20" s="8"/>
      <c r="I20" s="11"/>
      <c r="J20" s="11"/>
      <c r="K20" s="11"/>
    </row>
    <row r="21" customFormat="false" ht="30" hidden="false" customHeight="true" outlineLevel="0" collapsed="false">
      <c r="B21" s="8" t="s">
        <v>69</v>
      </c>
      <c r="C21" s="8"/>
      <c r="D21" s="8"/>
      <c r="E21" s="8"/>
      <c r="F21" s="8"/>
      <c r="G21" s="8"/>
      <c r="H21" s="8"/>
      <c r="I21" s="11"/>
      <c r="J21" s="11"/>
      <c r="K21" s="11"/>
    </row>
    <row r="22" customFormat="false" ht="30" hidden="false" customHeight="true" outlineLevel="0" collapsed="false">
      <c r="B22" s="8" t="s">
        <v>70</v>
      </c>
      <c r="C22" s="8"/>
      <c r="D22" s="8"/>
      <c r="E22" s="8"/>
      <c r="F22" s="8"/>
      <c r="G22" s="8"/>
      <c r="H22" s="8"/>
      <c r="I22" s="14"/>
      <c r="J22" s="14"/>
      <c r="K22" s="14"/>
    </row>
    <row r="23" customFormat="false" ht="90" hidden="false" customHeight="true" outlineLevel="0" collapsed="false">
      <c r="B23" s="8" t="s">
        <v>71</v>
      </c>
      <c r="C23" s="8"/>
      <c r="D23" s="8"/>
      <c r="E23" s="8"/>
      <c r="F23" s="8"/>
      <c r="G23" s="8"/>
      <c r="H23" s="8"/>
      <c r="I23" s="20"/>
      <c r="J23" s="20"/>
      <c r="K23" s="20"/>
      <c r="L23" s="20"/>
      <c r="M23" s="20"/>
      <c r="N23" s="20"/>
      <c r="O23" s="20"/>
      <c r="P23" s="20"/>
    </row>
    <row r="24" customFormat="false" ht="69.75" hidden="false" customHeight="true" outlineLevel="0" collapsed="false">
      <c r="B24" s="8" t="s">
        <v>72</v>
      </c>
      <c r="C24" s="8"/>
      <c r="D24" s="8"/>
      <c r="E24" s="8"/>
      <c r="F24" s="8"/>
      <c r="G24" s="8"/>
      <c r="H24" s="8"/>
      <c r="I24" s="20"/>
      <c r="J24" s="20"/>
      <c r="K24" s="20"/>
      <c r="L24" s="20"/>
      <c r="M24" s="20"/>
      <c r="N24" s="20"/>
      <c r="O24" s="20"/>
      <c r="P24" s="20"/>
    </row>
  </sheetData>
  <mergeCells count="16">
    <mergeCell ref="B17:H17"/>
    <mergeCell ref="I17:K17"/>
    <mergeCell ref="B18:H18"/>
    <mergeCell ref="I18:K18"/>
    <mergeCell ref="B19:H19"/>
    <mergeCell ref="I19:K19"/>
    <mergeCell ref="B20:H20"/>
    <mergeCell ref="I20:K20"/>
    <mergeCell ref="B21:H21"/>
    <mergeCell ref="I21:K21"/>
    <mergeCell ref="B22:H22"/>
    <mergeCell ref="I22:K22"/>
    <mergeCell ref="B23:H23"/>
    <mergeCell ref="I23:P23"/>
    <mergeCell ref="B24:H24"/>
    <mergeCell ref="I24:P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7" min="3" style="0" width="13"/>
    <col collapsed="false" customWidth="true" hidden="false" outlineLevel="0" max="8" min="8" style="0" width="18"/>
    <col collapsed="false" customWidth="true" hidden="false" outlineLevel="0" max="13" min="9" style="0" width="13"/>
  </cols>
  <sheetData>
    <row r="1" customFormat="false" ht="17.35" hidden="false" customHeight="false" outlineLevel="0" collapsed="false">
      <c r="B1" s="1" t="s">
        <v>73</v>
      </c>
    </row>
    <row r="2" customFormat="false" ht="15" hidden="false" customHeight="false" outlineLevel="0" collapsed="false">
      <c r="B2" s="2" t="s">
        <v>74</v>
      </c>
    </row>
    <row r="4" customFormat="false" ht="69.75" hidden="false" customHeight="true" outlineLevel="0" collapsed="false">
      <c r="B4" s="6" t="s">
        <v>75</v>
      </c>
      <c r="C4" s="6" t="s">
        <v>76</v>
      </c>
      <c r="D4" s="6" t="s">
        <v>77</v>
      </c>
      <c r="E4" s="6" t="s">
        <v>36</v>
      </c>
      <c r="F4" s="6" t="s">
        <v>78</v>
      </c>
      <c r="G4" s="6" t="s">
        <v>79</v>
      </c>
      <c r="H4" s="6" t="s">
        <v>80</v>
      </c>
      <c r="I4" s="6" t="s">
        <v>81</v>
      </c>
      <c r="J4" s="6" t="s">
        <v>82</v>
      </c>
      <c r="K4" s="6" t="s">
        <v>83</v>
      </c>
      <c r="L4" s="6" t="s">
        <v>84</v>
      </c>
      <c r="M4" s="6" t="s">
        <v>85</v>
      </c>
    </row>
    <row r="5" customFormat="false" ht="15" hidden="false" customHeight="false" outlineLevel="0" collapsed="false">
      <c r="B5" s="7" t="s">
        <v>86</v>
      </c>
      <c r="C5" s="13" t="n">
        <v>1150</v>
      </c>
      <c r="D5" s="13" t="n">
        <v>64</v>
      </c>
      <c r="E5" s="13" t="n">
        <v>9</v>
      </c>
      <c r="F5" s="13" t="n">
        <v>22</v>
      </c>
      <c r="G5" s="13" t="n">
        <v>0</v>
      </c>
      <c r="H5" s="13" t="n">
        <v>412</v>
      </c>
      <c r="I5" s="14" t="n">
        <f aca="false">C5+D5-E5-F5-G5</f>
        <v>1183</v>
      </c>
      <c r="J5" s="14" t="n">
        <f aca="false">I5-C5</f>
        <v>33</v>
      </c>
      <c r="K5" s="15" t="n">
        <f aca="false">J5/C5</f>
        <v>0.028695652173913</v>
      </c>
      <c r="L5" s="15" t="n">
        <f aca="false">H5/I5</f>
        <v>0.348267117497887</v>
      </c>
      <c r="M5" s="15" t="n">
        <f aca="false">E5/D5</f>
        <v>0.140625</v>
      </c>
    </row>
    <row r="6" customFormat="false" ht="15" hidden="false" customHeight="false" outlineLevel="0" collapsed="false">
      <c r="B6" s="7" t="s">
        <v>87</v>
      </c>
      <c r="C6" s="13" t="n">
        <f aca="false">I5</f>
        <v>1183</v>
      </c>
      <c r="D6" s="13" t="n">
        <v>81</v>
      </c>
      <c r="E6" s="13" t="n">
        <v>8</v>
      </c>
      <c r="F6" s="13" t="n">
        <v>21</v>
      </c>
      <c r="G6" s="13" t="n">
        <v>0</v>
      </c>
      <c r="H6" s="13" t="n">
        <v>431</v>
      </c>
      <c r="I6" s="14"/>
      <c r="J6" s="14"/>
      <c r="K6" s="15"/>
      <c r="L6" s="15"/>
      <c r="M6" s="15"/>
    </row>
    <row r="7" customFormat="false" ht="15" hidden="false" customHeight="false" outlineLevel="0" collapsed="false">
      <c r="B7" s="7" t="s">
        <v>88</v>
      </c>
      <c r="C7" s="13" t="n">
        <f aca="false">I6</f>
        <v>0</v>
      </c>
      <c r="D7" s="13" t="n">
        <v>47</v>
      </c>
      <c r="E7" s="13" t="n">
        <v>14</v>
      </c>
      <c r="F7" s="13" t="n">
        <v>28</v>
      </c>
      <c r="G7" s="13" t="n">
        <v>0</v>
      </c>
      <c r="H7" s="13" t="n">
        <v>455</v>
      </c>
      <c r="I7" s="14"/>
      <c r="J7" s="14"/>
      <c r="K7" s="15"/>
      <c r="L7" s="15"/>
      <c r="M7" s="15"/>
    </row>
    <row r="8" customFormat="false" ht="15" hidden="false" customHeight="false" outlineLevel="0" collapsed="false">
      <c r="B8" s="7" t="s">
        <v>89</v>
      </c>
      <c r="C8" s="13" t="n">
        <f aca="false">I7</f>
        <v>0</v>
      </c>
      <c r="D8" s="13" t="n">
        <v>72</v>
      </c>
      <c r="E8" s="13" t="n">
        <v>9</v>
      </c>
      <c r="F8" s="13" t="n">
        <v>18</v>
      </c>
      <c r="G8" s="13" t="n">
        <v>0</v>
      </c>
      <c r="H8" s="13" t="n">
        <v>470</v>
      </c>
      <c r="I8" s="14"/>
      <c r="J8" s="14"/>
      <c r="K8" s="15"/>
      <c r="L8" s="15"/>
      <c r="M8" s="15"/>
    </row>
    <row r="9" customFormat="false" ht="15" hidden="false" customHeight="false" outlineLevel="0" collapsed="false">
      <c r="B9" s="7" t="s">
        <v>90</v>
      </c>
      <c r="C9" s="13" t="n">
        <f aca="false">I8</f>
        <v>0</v>
      </c>
      <c r="D9" s="13" t="n">
        <v>95</v>
      </c>
      <c r="E9" s="13" t="n">
        <v>17</v>
      </c>
      <c r="F9" s="13" t="n">
        <v>24</v>
      </c>
      <c r="G9" s="13" t="n">
        <v>0</v>
      </c>
      <c r="H9" s="13" t="n">
        <v>488</v>
      </c>
      <c r="I9" s="14"/>
      <c r="J9" s="14"/>
      <c r="K9" s="15"/>
      <c r="L9" s="15"/>
      <c r="M9" s="15"/>
    </row>
    <row r="10" customFormat="false" ht="15" hidden="false" customHeight="false" outlineLevel="0" collapsed="false">
      <c r="B10" s="7" t="s">
        <v>91</v>
      </c>
      <c r="C10" s="13" t="n">
        <f aca="false">I9</f>
        <v>0</v>
      </c>
      <c r="D10" s="13" t="n">
        <v>88</v>
      </c>
      <c r="E10" s="13" t="n">
        <v>7</v>
      </c>
      <c r="F10" s="13" t="n">
        <v>20</v>
      </c>
      <c r="G10" s="13" t="n">
        <v>160</v>
      </c>
      <c r="H10" s="13" t="n">
        <v>330</v>
      </c>
      <c r="I10" s="14"/>
      <c r="J10" s="14"/>
      <c r="K10" s="15"/>
      <c r="L10" s="15"/>
      <c r="M10" s="15"/>
    </row>
    <row r="11" customFormat="false" ht="15" hidden="false" customHeight="false" outlineLevel="0" collapsed="false">
      <c r="B11" s="19" t="s">
        <v>92</v>
      </c>
    </row>
    <row r="13" customFormat="false" ht="15" hidden="false" customHeight="false" outlineLevel="0" collapsed="false">
      <c r="B13" s="3" t="s">
        <v>93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customFormat="false" ht="30" hidden="false" customHeight="true" outlineLevel="0" collapsed="false">
      <c r="B14" s="8" t="s">
        <v>94</v>
      </c>
      <c r="C14" s="8"/>
      <c r="D14" s="8"/>
      <c r="E14" s="8"/>
      <c r="F14" s="8"/>
      <c r="G14" s="8"/>
      <c r="H14" s="8"/>
      <c r="I14" s="14"/>
      <c r="J14" s="14"/>
    </row>
    <row r="15" customFormat="false" ht="30" hidden="false" customHeight="true" outlineLevel="0" collapsed="false">
      <c r="B15" s="8" t="s">
        <v>95</v>
      </c>
      <c r="C15" s="8"/>
      <c r="D15" s="8"/>
      <c r="E15" s="8"/>
      <c r="F15" s="8"/>
      <c r="G15" s="8"/>
      <c r="H15" s="8"/>
      <c r="I15" s="15"/>
      <c r="J15" s="15"/>
    </row>
    <row r="16" customFormat="false" ht="30" hidden="false" customHeight="true" outlineLevel="0" collapsed="false">
      <c r="B16" s="8" t="s">
        <v>96</v>
      </c>
      <c r="C16" s="8"/>
      <c r="D16" s="8"/>
      <c r="E16" s="8"/>
      <c r="F16" s="8"/>
      <c r="G16" s="8"/>
      <c r="H16" s="8"/>
      <c r="I16" s="11"/>
      <c r="J16" s="11"/>
    </row>
    <row r="17" customFormat="false" ht="30" hidden="false" customHeight="true" outlineLevel="0" collapsed="false">
      <c r="B17" s="8" t="s">
        <v>97</v>
      </c>
      <c r="C17" s="8"/>
      <c r="D17" s="8"/>
      <c r="E17" s="8"/>
      <c r="F17" s="8"/>
      <c r="G17" s="8"/>
      <c r="H17" s="8"/>
      <c r="I17" s="15"/>
      <c r="J17" s="15"/>
    </row>
    <row r="18" customFormat="false" ht="90" hidden="false" customHeight="true" outlineLevel="0" collapsed="false">
      <c r="B18" s="8" t="s">
        <v>98</v>
      </c>
      <c r="C18" s="8"/>
      <c r="D18" s="8"/>
      <c r="E18" s="8"/>
      <c r="F18" s="8"/>
      <c r="G18" s="8"/>
      <c r="H18" s="8"/>
      <c r="I18" s="20"/>
      <c r="J18" s="20"/>
      <c r="K18" s="20"/>
      <c r="L18" s="20"/>
      <c r="M18" s="20"/>
    </row>
  </sheetData>
  <mergeCells count="10">
    <mergeCell ref="B14:H14"/>
    <mergeCell ref="I14:J14"/>
    <mergeCell ref="B15:H15"/>
    <mergeCell ref="I15:J15"/>
    <mergeCell ref="B16:H16"/>
    <mergeCell ref="I16:J16"/>
    <mergeCell ref="B17:H17"/>
    <mergeCell ref="I17:J17"/>
    <mergeCell ref="B18:H18"/>
    <mergeCell ref="I18:M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1" min="9" style="0" width="8"/>
    <col collapsed="false" customWidth="true" hidden="false" outlineLevel="0" max="12" min="12" style="0" width="9"/>
    <col collapsed="false" customWidth="true" hidden="false" outlineLevel="0" max="13" min="13" style="0" width="13"/>
    <col collapsed="false" customWidth="true" hidden="false" outlineLevel="0" max="14" min="14" style="0" width="3"/>
    <col collapsed="false" customWidth="true" hidden="false" outlineLevel="0" max="15" min="15" style="0" width="26"/>
    <col collapsed="false" customWidth="true" hidden="false" outlineLevel="0" max="16" min="16" style="0" width="11"/>
    <col collapsed="false" customWidth="true" hidden="false" outlineLevel="0" max="19" min="17" style="0" width="14"/>
  </cols>
  <sheetData>
    <row r="1" customFormat="false" ht="17.35" hidden="false" customHeight="false" outlineLevel="0" collapsed="false">
      <c r="B1" s="1" t="s">
        <v>99</v>
      </c>
    </row>
    <row r="2" customFormat="false" ht="15" hidden="false" customHeight="false" outlineLevel="0" collapsed="false">
      <c r="B2" s="2" t="s">
        <v>100</v>
      </c>
    </row>
    <row r="4" customFormat="false" ht="15" hidden="false" customHeight="false" outlineLevel="0" collapsed="false">
      <c r="B4" s="7" t="s">
        <v>101</v>
      </c>
      <c r="C4" s="21" t="n">
        <v>46295</v>
      </c>
    </row>
    <row r="6" customFormat="false" ht="15" hidden="false" customHeight="false" outlineLevel="0" collapsed="false">
      <c r="B6" s="3" t="s">
        <v>102</v>
      </c>
      <c r="C6" s="4"/>
      <c r="D6" s="4"/>
      <c r="E6" s="4"/>
      <c r="F6" s="4"/>
      <c r="G6" s="4"/>
      <c r="H6" s="4"/>
      <c r="I6" s="4"/>
    </row>
    <row r="7" customFormat="false" ht="15" hidden="false" customHeight="false" outlineLevel="0" collapsed="false">
      <c r="B7" s="7" t="s">
        <v>103</v>
      </c>
      <c r="C7" s="9" t="s">
        <v>104</v>
      </c>
      <c r="D7" s="9"/>
      <c r="E7" s="9"/>
      <c r="F7" s="9"/>
      <c r="G7" s="9"/>
      <c r="H7" s="9"/>
      <c r="I7" s="9"/>
      <c r="J7" s="9"/>
      <c r="K7" s="9"/>
    </row>
    <row r="8" customFormat="false" ht="15" hidden="false" customHeight="false" outlineLevel="0" collapsed="false">
      <c r="B8" s="7" t="s">
        <v>105</v>
      </c>
      <c r="C8" s="9" t="s">
        <v>106</v>
      </c>
      <c r="D8" s="9"/>
      <c r="E8" s="9"/>
      <c r="F8" s="9"/>
      <c r="G8" s="9"/>
      <c r="H8" s="9"/>
      <c r="I8" s="9"/>
      <c r="J8" s="9"/>
      <c r="K8" s="9"/>
    </row>
    <row r="9" customFormat="false" ht="15" hidden="false" customHeight="false" outlineLevel="0" collapsed="false">
      <c r="B9" s="7" t="s">
        <v>107</v>
      </c>
      <c r="C9" s="9" t="s">
        <v>108</v>
      </c>
      <c r="D9" s="9"/>
      <c r="E9" s="9"/>
      <c r="F9" s="9"/>
      <c r="G9" s="9"/>
      <c r="H9" s="9"/>
      <c r="I9" s="9"/>
      <c r="J9" s="9"/>
      <c r="K9" s="9"/>
    </row>
    <row r="10" customFormat="false" ht="15" hidden="false" customHeight="false" outlineLevel="0" collapsed="false">
      <c r="B10" s="7" t="s">
        <v>109</v>
      </c>
      <c r="C10" s="9" t="s">
        <v>110</v>
      </c>
      <c r="D10" s="9"/>
      <c r="E10" s="9"/>
      <c r="F10" s="9"/>
      <c r="G10" s="9"/>
      <c r="H10" s="9"/>
      <c r="I10" s="9"/>
      <c r="J10" s="9"/>
      <c r="K10" s="9"/>
    </row>
    <row r="11" customFormat="false" ht="15" hidden="false" customHeight="false" outlineLevel="0" collapsed="false">
      <c r="B11" s="7" t="s">
        <v>111</v>
      </c>
      <c r="C11" s="9" t="s">
        <v>112</v>
      </c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false" outlineLevel="0" collapsed="false">
      <c r="B12" s="19" t="s">
        <v>113</v>
      </c>
    </row>
    <row r="13" customFormat="false" ht="42" hidden="false" customHeight="true" outlineLevel="0" collapsed="false">
      <c r="B13" s="6" t="s">
        <v>114</v>
      </c>
      <c r="C13" s="6" t="s">
        <v>115</v>
      </c>
      <c r="D13" s="6" t="s">
        <v>116</v>
      </c>
      <c r="E13" s="6" t="s">
        <v>117</v>
      </c>
      <c r="F13" s="6" t="s">
        <v>118</v>
      </c>
      <c r="G13" s="6" t="s">
        <v>119</v>
      </c>
      <c r="H13" s="6" t="s">
        <v>120</v>
      </c>
      <c r="I13" s="6" t="s">
        <v>121</v>
      </c>
      <c r="J13" s="6" t="s">
        <v>122</v>
      </c>
      <c r="K13" s="6" t="s">
        <v>123</v>
      </c>
      <c r="L13" s="6" t="s">
        <v>124</v>
      </c>
      <c r="M13" s="6" t="s">
        <v>109</v>
      </c>
      <c r="O13" s="22" t="s">
        <v>109</v>
      </c>
      <c r="P13" s="22" t="s">
        <v>125</v>
      </c>
      <c r="Q13" s="22" t="s">
        <v>119</v>
      </c>
      <c r="R13" s="22" t="s">
        <v>126</v>
      </c>
      <c r="S13" s="22" t="s">
        <v>127</v>
      </c>
    </row>
    <row r="14" customFormat="false" ht="15" hidden="false" customHeight="false" outlineLevel="0" collapsed="false">
      <c r="B14" s="9" t="s">
        <v>128</v>
      </c>
      <c r="C14" s="9" t="s">
        <v>129</v>
      </c>
      <c r="D14" s="9" t="s">
        <v>130</v>
      </c>
      <c r="E14" s="21" t="n">
        <v>46213</v>
      </c>
      <c r="F14" s="13" t="n">
        <v>5</v>
      </c>
      <c r="G14" s="13" t="n">
        <v>7640</v>
      </c>
      <c r="H14" s="23" t="n">
        <f aca="false">$C$4-E14</f>
        <v>82</v>
      </c>
      <c r="I14" s="23" t="n">
        <f aca="false">_xlfn.IFS(H14&lt;=30,3,H14&lt;=90,2,TRUE(),1)</f>
        <v>2</v>
      </c>
      <c r="J14" s="23" t="n">
        <f aca="false">_xlfn.IFS(F14&gt;=6,3,F14&gt;=3,2,TRUE(),1)</f>
        <v>2</v>
      </c>
      <c r="K14" s="23" t="n">
        <f aca="false">_xlfn.IFS(G14&gt;=15000,3,G14&gt;=6000,2,TRUE(),1)</f>
        <v>2</v>
      </c>
      <c r="L14" s="23" t="n">
        <f aca="false">I14+J14+K14</f>
        <v>6</v>
      </c>
      <c r="M14" s="11" t="str">
        <f aca="false">_xlfn.IFS(AND(I14=3,J14=3),"Champions",AND(I14=3,J14=1),"New",AND(I14&gt;=2,J14&gt;=2),"Loyal",AND(I14=1,J14&gt;=2),"At risk",TRUE(),"Hibernating")</f>
        <v>Loyal</v>
      </c>
      <c r="O14" s="7" t="s">
        <v>131</v>
      </c>
      <c r="P14" s="23"/>
      <c r="Q14" s="14"/>
      <c r="R14" s="14"/>
      <c r="S14" s="15"/>
    </row>
    <row r="15" customFormat="false" ht="15" hidden="false" customHeight="false" outlineLevel="0" collapsed="false">
      <c r="B15" s="9" t="s">
        <v>132</v>
      </c>
      <c r="C15" s="9" t="s">
        <v>133</v>
      </c>
      <c r="D15" s="9" t="s">
        <v>134</v>
      </c>
      <c r="E15" s="21" t="n">
        <v>46284</v>
      </c>
      <c r="F15" s="13" t="n">
        <v>1</v>
      </c>
      <c r="G15" s="13" t="n">
        <v>1680</v>
      </c>
      <c r="H15" s="23"/>
      <c r="I15" s="23"/>
      <c r="J15" s="23"/>
      <c r="K15" s="23"/>
      <c r="L15" s="23"/>
      <c r="M15" s="11"/>
      <c r="O15" s="7" t="s">
        <v>135</v>
      </c>
      <c r="P15" s="23"/>
      <c r="Q15" s="14"/>
      <c r="R15" s="14"/>
      <c r="S15" s="15"/>
    </row>
    <row r="16" customFormat="false" ht="15" hidden="false" customHeight="false" outlineLevel="0" collapsed="false">
      <c r="B16" s="9" t="s">
        <v>136</v>
      </c>
      <c r="C16" s="9" t="s">
        <v>137</v>
      </c>
      <c r="D16" s="9" t="s">
        <v>138</v>
      </c>
      <c r="E16" s="21" t="n">
        <v>46225</v>
      </c>
      <c r="F16" s="13" t="n">
        <v>6</v>
      </c>
      <c r="G16" s="13" t="n">
        <v>7030</v>
      </c>
      <c r="H16" s="23"/>
      <c r="I16" s="23"/>
      <c r="J16" s="23"/>
      <c r="K16" s="23"/>
      <c r="L16" s="23"/>
      <c r="M16" s="11"/>
      <c r="O16" s="7" t="s">
        <v>139</v>
      </c>
      <c r="P16" s="23"/>
      <c r="Q16" s="14"/>
      <c r="R16" s="14"/>
      <c r="S16" s="15"/>
    </row>
    <row r="17" customFormat="false" ht="15" hidden="false" customHeight="false" outlineLevel="0" collapsed="false">
      <c r="B17" s="9" t="s">
        <v>140</v>
      </c>
      <c r="C17" s="9" t="s">
        <v>141</v>
      </c>
      <c r="D17" s="9" t="s">
        <v>142</v>
      </c>
      <c r="E17" s="21" t="n">
        <v>46286</v>
      </c>
      <c r="F17" s="13" t="n">
        <v>11</v>
      </c>
      <c r="G17" s="13" t="n">
        <v>25150</v>
      </c>
      <c r="H17" s="23"/>
      <c r="I17" s="23"/>
      <c r="J17" s="23"/>
      <c r="K17" s="23"/>
      <c r="L17" s="23"/>
      <c r="M17" s="11"/>
      <c r="O17" s="7" t="s">
        <v>143</v>
      </c>
      <c r="P17" s="23"/>
      <c r="Q17" s="14"/>
      <c r="R17" s="14"/>
      <c r="S17" s="15"/>
    </row>
    <row r="18" customFormat="false" ht="15" hidden="false" customHeight="false" outlineLevel="0" collapsed="false">
      <c r="B18" s="9" t="s">
        <v>144</v>
      </c>
      <c r="C18" s="9" t="s">
        <v>145</v>
      </c>
      <c r="D18" s="9" t="s">
        <v>146</v>
      </c>
      <c r="E18" s="21" t="n">
        <v>46282</v>
      </c>
      <c r="F18" s="13" t="n">
        <v>3</v>
      </c>
      <c r="G18" s="13" t="n">
        <v>3550</v>
      </c>
      <c r="H18" s="23"/>
      <c r="I18" s="23"/>
      <c r="J18" s="23"/>
      <c r="K18" s="23"/>
      <c r="L18" s="23"/>
      <c r="M18" s="11"/>
      <c r="O18" s="7" t="s">
        <v>147</v>
      </c>
      <c r="P18" s="23"/>
      <c r="Q18" s="14"/>
      <c r="R18" s="14"/>
      <c r="S18" s="15"/>
    </row>
    <row r="19" customFormat="false" ht="15" hidden="false" customHeight="false" outlineLevel="0" collapsed="false">
      <c r="B19" s="9" t="s">
        <v>148</v>
      </c>
      <c r="C19" s="9" t="s">
        <v>149</v>
      </c>
      <c r="D19" s="9" t="s">
        <v>134</v>
      </c>
      <c r="E19" s="21" t="n">
        <v>46243</v>
      </c>
      <c r="F19" s="13" t="n">
        <v>4</v>
      </c>
      <c r="G19" s="13" t="n">
        <v>30140</v>
      </c>
      <c r="H19" s="23"/>
      <c r="I19" s="23"/>
      <c r="J19" s="23"/>
      <c r="K19" s="23"/>
      <c r="L19" s="23"/>
      <c r="M19" s="11"/>
      <c r="O19" s="7" t="s">
        <v>23</v>
      </c>
      <c r="P19" s="23"/>
      <c r="Q19" s="14"/>
    </row>
    <row r="20" customFormat="false" ht="15" hidden="false" customHeight="false" outlineLevel="0" collapsed="false">
      <c r="B20" s="9" t="s">
        <v>150</v>
      </c>
      <c r="C20" s="9" t="s">
        <v>151</v>
      </c>
      <c r="D20" s="9" t="s">
        <v>142</v>
      </c>
      <c r="E20" s="21" t="n">
        <v>46266</v>
      </c>
      <c r="F20" s="13" t="n">
        <v>9</v>
      </c>
      <c r="G20" s="13" t="n">
        <v>24240</v>
      </c>
      <c r="H20" s="23"/>
      <c r="I20" s="23"/>
      <c r="J20" s="23"/>
      <c r="K20" s="23"/>
      <c r="L20" s="23"/>
      <c r="M20" s="11"/>
    </row>
    <row r="21" customFormat="false" ht="15" hidden="false" customHeight="false" outlineLevel="0" collapsed="false">
      <c r="B21" s="9" t="s">
        <v>152</v>
      </c>
      <c r="C21" s="9" t="s">
        <v>153</v>
      </c>
      <c r="D21" s="9" t="s">
        <v>138</v>
      </c>
      <c r="E21" s="21" t="n">
        <v>46210</v>
      </c>
      <c r="F21" s="13" t="n">
        <v>1</v>
      </c>
      <c r="G21" s="13" t="n">
        <v>1430</v>
      </c>
      <c r="H21" s="23"/>
      <c r="I21" s="23"/>
      <c r="J21" s="23"/>
      <c r="K21" s="23"/>
      <c r="L21" s="23"/>
      <c r="M21" s="11"/>
      <c r="O21" s="22" t="s">
        <v>93</v>
      </c>
    </row>
    <row r="22" customFormat="false" ht="30" hidden="false" customHeight="true" outlineLevel="0" collapsed="false">
      <c r="B22" s="9" t="s">
        <v>154</v>
      </c>
      <c r="C22" s="9" t="s">
        <v>155</v>
      </c>
      <c r="D22" s="9" t="s">
        <v>134</v>
      </c>
      <c r="E22" s="21" t="n">
        <v>46218</v>
      </c>
      <c r="F22" s="13" t="n">
        <v>7</v>
      </c>
      <c r="G22" s="13" t="n">
        <v>14810</v>
      </c>
      <c r="H22" s="23"/>
      <c r="I22" s="23"/>
      <c r="J22" s="23"/>
      <c r="K22" s="23"/>
      <c r="L22" s="23"/>
      <c r="M22" s="11"/>
      <c r="O22" s="8" t="s">
        <v>156</v>
      </c>
      <c r="P22" s="8"/>
      <c r="Q22" s="8"/>
      <c r="R22" s="11"/>
    </row>
    <row r="23" customFormat="false" ht="30" hidden="false" customHeight="true" outlineLevel="0" collapsed="false">
      <c r="B23" s="9" t="s">
        <v>157</v>
      </c>
      <c r="C23" s="9" t="s">
        <v>158</v>
      </c>
      <c r="D23" s="9" t="s">
        <v>142</v>
      </c>
      <c r="E23" s="21" t="n">
        <v>46255</v>
      </c>
      <c r="F23" s="13" t="n">
        <v>3</v>
      </c>
      <c r="G23" s="13" t="n">
        <v>3490</v>
      </c>
      <c r="H23" s="23"/>
      <c r="I23" s="23"/>
      <c r="J23" s="23"/>
      <c r="K23" s="23"/>
      <c r="L23" s="23"/>
      <c r="M23" s="11"/>
      <c r="O23" s="8" t="s">
        <v>159</v>
      </c>
      <c r="P23" s="8"/>
      <c r="Q23" s="8"/>
      <c r="R23" s="15"/>
    </row>
    <row r="24" customFormat="false" ht="30" hidden="false" customHeight="true" outlineLevel="0" collapsed="false">
      <c r="B24" s="9" t="s">
        <v>160</v>
      </c>
      <c r="C24" s="9" t="s">
        <v>161</v>
      </c>
      <c r="D24" s="9" t="s">
        <v>162</v>
      </c>
      <c r="E24" s="21" t="n">
        <v>46273</v>
      </c>
      <c r="F24" s="13" t="n">
        <v>9</v>
      </c>
      <c r="G24" s="13" t="n">
        <v>22740</v>
      </c>
      <c r="H24" s="23"/>
      <c r="I24" s="23"/>
      <c r="J24" s="23"/>
      <c r="K24" s="23"/>
      <c r="L24" s="23"/>
      <c r="M24" s="11"/>
      <c r="O24" s="8" t="s">
        <v>163</v>
      </c>
      <c r="P24" s="8"/>
      <c r="Q24" s="8"/>
      <c r="R24" s="23"/>
    </row>
    <row r="25" customFormat="false" ht="30" hidden="false" customHeight="true" outlineLevel="0" collapsed="false">
      <c r="B25" s="9" t="s">
        <v>164</v>
      </c>
      <c r="C25" s="9" t="s">
        <v>165</v>
      </c>
      <c r="D25" s="9" t="s">
        <v>166</v>
      </c>
      <c r="E25" s="21" t="n">
        <v>45988</v>
      </c>
      <c r="F25" s="13" t="n">
        <v>1</v>
      </c>
      <c r="G25" s="13" t="n">
        <v>1580</v>
      </c>
      <c r="H25" s="23"/>
      <c r="I25" s="23"/>
      <c r="J25" s="23"/>
      <c r="K25" s="23"/>
      <c r="L25" s="23"/>
      <c r="M25" s="11"/>
      <c r="O25" s="8" t="s">
        <v>167</v>
      </c>
      <c r="P25" s="8"/>
      <c r="Q25" s="8"/>
      <c r="R25" s="14"/>
    </row>
    <row r="26" customFormat="false" ht="109.5" hidden="false" customHeight="true" outlineLevel="0" collapsed="false">
      <c r="B26" s="9" t="s">
        <v>168</v>
      </c>
      <c r="C26" s="9" t="s">
        <v>169</v>
      </c>
      <c r="D26" s="9" t="s">
        <v>130</v>
      </c>
      <c r="E26" s="21" t="n">
        <v>46269</v>
      </c>
      <c r="F26" s="13" t="n">
        <v>5</v>
      </c>
      <c r="G26" s="13" t="n">
        <v>5960</v>
      </c>
      <c r="H26" s="23"/>
      <c r="I26" s="23"/>
      <c r="J26" s="23"/>
      <c r="K26" s="23"/>
      <c r="L26" s="23"/>
      <c r="M26" s="11"/>
      <c r="O26" s="8" t="s">
        <v>170</v>
      </c>
      <c r="P26" s="8"/>
      <c r="Q26" s="8"/>
      <c r="R26" s="20"/>
      <c r="S26" s="20"/>
      <c r="T26" s="20"/>
    </row>
    <row r="27" customFormat="false" ht="15" hidden="false" customHeight="false" outlineLevel="0" collapsed="false">
      <c r="B27" s="9" t="s">
        <v>171</v>
      </c>
      <c r="C27" s="9" t="s">
        <v>172</v>
      </c>
      <c r="D27" s="9" t="s">
        <v>138</v>
      </c>
      <c r="E27" s="21" t="n">
        <v>46043</v>
      </c>
      <c r="F27" s="13" t="n">
        <v>1</v>
      </c>
      <c r="G27" s="13" t="n">
        <v>1130</v>
      </c>
      <c r="H27" s="23"/>
      <c r="I27" s="23"/>
      <c r="J27" s="23"/>
      <c r="K27" s="23"/>
      <c r="L27" s="23"/>
      <c r="M27" s="11"/>
    </row>
    <row r="28" customFormat="false" ht="15" hidden="false" customHeight="false" outlineLevel="0" collapsed="false">
      <c r="B28" s="9" t="s">
        <v>173</v>
      </c>
      <c r="C28" s="9" t="s">
        <v>174</v>
      </c>
      <c r="D28" s="9" t="s">
        <v>138</v>
      </c>
      <c r="E28" s="21" t="n">
        <v>46266</v>
      </c>
      <c r="F28" s="13" t="n">
        <v>1</v>
      </c>
      <c r="G28" s="13" t="n">
        <v>2590</v>
      </c>
      <c r="H28" s="23"/>
      <c r="I28" s="23"/>
      <c r="J28" s="23"/>
      <c r="K28" s="23"/>
      <c r="L28" s="23"/>
      <c r="M28" s="11"/>
    </row>
    <row r="29" customFormat="false" ht="15" hidden="false" customHeight="false" outlineLevel="0" collapsed="false">
      <c r="B29" s="9" t="s">
        <v>175</v>
      </c>
      <c r="C29" s="9" t="s">
        <v>176</v>
      </c>
      <c r="D29" s="9" t="s">
        <v>177</v>
      </c>
      <c r="E29" s="21" t="n">
        <v>46215</v>
      </c>
      <c r="F29" s="13" t="n">
        <v>4</v>
      </c>
      <c r="G29" s="13" t="n">
        <v>5070</v>
      </c>
      <c r="H29" s="23"/>
      <c r="I29" s="23"/>
      <c r="J29" s="23"/>
      <c r="K29" s="23"/>
      <c r="L29" s="23"/>
      <c r="M29" s="11"/>
    </row>
    <row r="30" customFormat="false" ht="15" hidden="false" customHeight="false" outlineLevel="0" collapsed="false">
      <c r="B30" s="9" t="s">
        <v>178</v>
      </c>
      <c r="C30" s="9" t="s">
        <v>179</v>
      </c>
      <c r="D30" s="9" t="s">
        <v>142</v>
      </c>
      <c r="E30" s="21" t="n">
        <v>46271</v>
      </c>
      <c r="F30" s="13" t="n">
        <v>9</v>
      </c>
      <c r="G30" s="13" t="n">
        <v>15090</v>
      </c>
      <c r="H30" s="23"/>
      <c r="I30" s="23"/>
      <c r="J30" s="23"/>
      <c r="K30" s="23"/>
      <c r="L30" s="23"/>
      <c r="M30" s="11"/>
    </row>
    <row r="31" customFormat="false" ht="15" hidden="false" customHeight="false" outlineLevel="0" collapsed="false">
      <c r="B31" s="9" t="s">
        <v>180</v>
      </c>
      <c r="C31" s="9" t="s">
        <v>181</v>
      </c>
      <c r="D31" s="9" t="s">
        <v>182</v>
      </c>
      <c r="E31" s="21" t="n">
        <v>45979</v>
      </c>
      <c r="F31" s="13" t="n">
        <v>2</v>
      </c>
      <c r="G31" s="13" t="n">
        <v>3570</v>
      </c>
      <c r="H31" s="23"/>
      <c r="I31" s="23"/>
      <c r="J31" s="23"/>
      <c r="K31" s="23"/>
      <c r="L31" s="23"/>
      <c r="M31" s="11"/>
    </row>
    <row r="32" customFormat="false" ht="15" hidden="false" customHeight="false" outlineLevel="0" collapsed="false">
      <c r="B32" s="9" t="s">
        <v>183</v>
      </c>
      <c r="C32" s="9" t="s">
        <v>184</v>
      </c>
      <c r="D32" s="9" t="s">
        <v>182</v>
      </c>
      <c r="E32" s="21" t="n">
        <v>46014</v>
      </c>
      <c r="F32" s="13" t="n">
        <v>2</v>
      </c>
      <c r="G32" s="13" t="n">
        <v>2250</v>
      </c>
      <c r="H32" s="23"/>
      <c r="I32" s="23"/>
      <c r="J32" s="23"/>
      <c r="K32" s="23"/>
      <c r="L32" s="23"/>
      <c r="M32" s="11"/>
    </row>
    <row r="33" customFormat="false" ht="15" hidden="false" customHeight="false" outlineLevel="0" collapsed="false">
      <c r="B33" s="9" t="s">
        <v>185</v>
      </c>
      <c r="C33" s="9" t="s">
        <v>186</v>
      </c>
      <c r="D33" s="9" t="s">
        <v>142</v>
      </c>
      <c r="E33" s="21" t="n">
        <v>46047</v>
      </c>
      <c r="F33" s="13" t="n">
        <v>8</v>
      </c>
      <c r="G33" s="13" t="n">
        <v>15720</v>
      </c>
      <c r="H33" s="23"/>
      <c r="I33" s="23"/>
      <c r="J33" s="23"/>
      <c r="K33" s="23"/>
      <c r="L33" s="23"/>
      <c r="M33" s="11"/>
    </row>
    <row r="34" customFormat="false" ht="15" hidden="false" customHeight="false" outlineLevel="0" collapsed="false">
      <c r="B34" s="9" t="s">
        <v>187</v>
      </c>
      <c r="C34" s="9" t="s">
        <v>188</v>
      </c>
      <c r="D34" s="9" t="s">
        <v>182</v>
      </c>
      <c r="E34" s="21" t="n">
        <v>46211</v>
      </c>
      <c r="F34" s="13" t="n">
        <v>2</v>
      </c>
      <c r="G34" s="13" t="n">
        <v>2360</v>
      </c>
      <c r="H34" s="23"/>
      <c r="I34" s="23"/>
      <c r="J34" s="23"/>
      <c r="K34" s="23"/>
      <c r="L34" s="23"/>
      <c r="M34" s="11"/>
    </row>
    <row r="35" customFormat="false" ht="15" hidden="false" customHeight="false" outlineLevel="0" collapsed="false">
      <c r="B35" s="9" t="s">
        <v>189</v>
      </c>
      <c r="C35" s="9" t="s">
        <v>190</v>
      </c>
      <c r="D35" s="9" t="s">
        <v>162</v>
      </c>
      <c r="E35" s="21" t="n">
        <v>46292</v>
      </c>
      <c r="F35" s="13" t="n">
        <v>1</v>
      </c>
      <c r="G35" s="13" t="n">
        <v>2790</v>
      </c>
      <c r="H35" s="23"/>
      <c r="I35" s="23"/>
      <c r="J35" s="23"/>
      <c r="K35" s="23"/>
      <c r="L35" s="23"/>
      <c r="M35" s="11"/>
    </row>
    <row r="36" customFormat="false" ht="15" hidden="false" customHeight="false" outlineLevel="0" collapsed="false">
      <c r="B36" s="9" t="s">
        <v>191</v>
      </c>
      <c r="C36" s="9" t="s">
        <v>192</v>
      </c>
      <c r="D36" s="9" t="s">
        <v>142</v>
      </c>
      <c r="E36" s="21" t="n">
        <v>46214</v>
      </c>
      <c r="F36" s="13" t="n">
        <v>1</v>
      </c>
      <c r="G36" s="13" t="n">
        <v>1640</v>
      </c>
      <c r="H36" s="23"/>
      <c r="I36" s="23"/>
      <c r="J36" s="23"/>
      <c r="K36" s="23"/>
      <c r="L36" s="23"/>
      <c r="M36" s="11"/>
    </row>
    <row r="37" customFormat="false" ht="15" hidden="false" customHeight="false" outlineLevel="0" collapsed="false">
      <c r="B37" s="9" t="s">
        <v>193</v>
      </c>
      <c r="C37" s="9" t="s">
        <v>194</v>
      </c>
      <c r="D37" s="9" t="s">
        <v>195</v>
      </c>
      <c r="E37" s="21" t="n">
        <v>46031</v>
      </c>
      <c r="F37" s="13" t="n">
        <v>2</v>
      </c>
      <c r="G37" s="13" t="n">
        <v>3640</v>
      </c>
      <c r="H37" s="23"/>
      <c r="I37" s="23"/>
      <c r="J37" s="23"/>
      <c r="K37" s="23"/>
      <c r="L37" s="23"/>
      <c r="M37" s="11"/>
    </row>
    <row r="38" customFormat="false" ht="15" hidden="false" customHeight="false" outlineLevel="0" collapsed="false">
      <c r="B38" s="9" t="s">
        <v>196</v>
      </c>
      <c r="C38" s="9" t="s">
        <v>197</v>
      </c>
      <c r="D38" s="9" t="s">
        <v>195</v>
      </c>
      <c r="E38" s="21" t="n">
        <v>46068</v>
      </c>
      <c r="F38" s="13" t="n">
        <v>5</v>
      </c>
      <c r="G38" s="13" t="n">
        <v>14180</v>
      </c>
      <c r="H38" s="23"/>
      <c r="I38" s="23"/>
      <c r="J38" s="23"/>
      <c r="K38" s="23"/>
      <c r="L38" s="23"/>
      <c r="M38" s="11"/>
    </row>
    <row r="39" customFormat="false" ht="15" hidden="false" customHeight="false" outlineLevel="0" collapsed="false">
      <c r="B39" s="9" t="s">
        <v>198</v>
      </c>
      <c r="C39" s="9" t="s">
        <v>199</v>
      </c>
      <c r="D39" s="9" t="s">
        <v>134</v>
      </c>
      <c r="E39" s="21" t="n">
        <v>46034</v>
      </c>
      <c r="F39" s="13" t="n">
        <v>1</v>
      </c>
      <c r="G39" s="13" t="n">
        <v>2550</v>
      </c>
      <c r="H39" s="23"/>
      <c r="I39" s="23"/>
      <c r="J39" s="23"/>
      <c r="K39" s="23"/>
      <c r="L39" s="23"/>
      <c r="M39" s="11"/>
    </row>
    <row r="40" customFormat="false" ht="15" hidden="false" customHeight="false" outlineLevel="0" collapsed="false">
      <c r="B40" s="9" t="s">
        <v>200</v>
      </c>
      <c r="C40" s="9" t="s">
        <v>201</v>
      </c>
      <c r="D40" s="9" t="s">
        <v>146</v>
      </c>
      <c r="E40" s="21" t="n">
        <v>46105</v>
      </c>
      <c r="F40" s="13" t="n">
        <v>6</v>
      </c>
      <c r="G40" s="13" t="n">
        <v>10940</v>
      </c>
      <c r="H40" s="23"/>
      <c r="I40" s="23"/>
      <c r="J40" s="23"/>
      <c r="K40" s="23"/>
      <c r="L40" s="23"/>
      <c r="M40" s="11"/>
    </row>
    <row r="41" customFormat="false" ht="15" hidden="false" customHeight="false" outlineLevel="0" collapsed="false">
      <c r="B41" s="9" t="s">
        <v>202</v>
      </c>
      <c r="C41" s="9" t="s">
        <v>203</v>
      </c>
      <c r="D41" s="9" t="s">
        <v>146</v>
      </c>
      <c r="E41" s="21" t="n">
        <v>46182</v>
      </c>
      <c r="F41" s="13" t="n">
        <v>1</v>
      </c>
      <c r="G41" s="13" t="n">
        <v>1690</v>
      </c>
      <c r="H41" s="23"/>
      <c r="I41" s="23"/>
      <c r="J41" s="23"/>
      <c r="K41" s="23"/>
      <c r="L41" s="23"/>
      <c r="M41" s="11"/>
    </row>
    <row r="42" customFormat="false" ht="15" hidden="false" customHeight="false" outlineLevel="0" collapsed="false">
      <c r="B42" s="9" t="s">
        <v>204</v>
      </c>
      <c r="C42" s="9" t="s">
        <v>205</v>
      </c>
      <c r="D42" s="9" t="s">
        <v>177</v>
      </c>
      <c r="E42" s="21" t="n">
        <v>46074</v>
      </c>
      <c r="F42" s="13" t="n">
        <v>5</v>
      </c>
      <c r="G42" s="13" t="n">
        <v>9240</v>
      </c>
      <c r="H42" s="23"/>
      <c r="I42" s="23"/>
      <c r="J42" s="23"/>
      <c r="K42" s="23"/>
      <c r="L42" s="23"/>
      <c r="M42" s="11"/>
    </row>
    <row r="43" customFormat="false" ht="15" hidden="false" customHeight="false" outlineLevel="0" collapsed="false">
      <c r="B43" s="9" t="s">
        <v>206</v>
      </c>
      <c r="C43" s="9" t="s">
        <v>207</v>
      </c>
      <c r="D43" s="9" t="s">
        <v>138</v>
      </c>
      <c r="E43" s="21" t="n">
        <v>46002</v>
      </c>
      <c r="F43" s="13" t="n">
        <v>4</v>
      </c>
      <c r="G43" s="13" t="n">
        <v>11120</v>
      </c>
      <c r="H43" s="23"/>
      <c r="I43" s="23"/>
      <c r="J43" s="23"/>
      <c r="K43" s="23"/>
      <c r="L43" s="23"/>
      <c r="M43" s="11"/>
    </row>
    <row r="44" customFormat="false" ht="15" hidden="false" customHeight="false" outlineLevel="0" collapsed="false">
      <c r="B44" s="9" t="s">
        <v>208</v>
      </c>
      <c r="C44" s="9" t="s">
        <v>129</v>
      </c>
      <c r="D44" s="9" t="s">
        <v>195</v>
      </c>
      <c r="E44" s="21" t="n">
        <v>46227</v>
      </c>
      <c r="F44" s="13" t="n">
        <v>5</v>
      </c>
      <c r="G44" s="13" t="n">
        <v>7200</v>
      </c>
      <c r="H44" s="23"/>
      <c r="I44" s="23"/>
      <c r="J44" s="23"/>
      <c r="K44" s="23"/>
      <c r="L44" s="23"/>
      <c r="M44" s="11"/>
    </row>
    <row r="45" customFormat="false" ht="15" hidden="false" customHeight="false" outlineLevel="0" collapsed="false">
      <c r="B45" s="9" t="s">
        <v>209</v>
      </c>
      <c r="C45" s="9" t="s">
        <v>133</v>
      </c>
      <c r="D45" s="9" t="s">
        <v>182</v>
      </c>
      <c r="E45" s="21" t="n">
        <v>46293</v>
      </c>
      <c r="F45" s="13" t="n">
        <v>7</v>
      </c>
      <c r="G45" s="13" t="n">
        <v>14200</v>
      </c>
      <c r="H45" s="23"/>
      <c r="I45" s="23"/>
      <c r="J45" s="23"/>
      <c r="K45" s="23"/>
      <c r="L45" s="23"/>
      <c r="M45" s="11"/>
    </row>
    <row r="46" customFormat="false" ht="15" hidden="false" customHeight="false" outlineLevel="0" collapsed="false">
      <c r="B46" s="9" t="s">
        <v>210</v>
      </c>
      <c r="C46" s="9" t="s">
        <v>137</v>
      </c>
      <c r="D46" s="9" t="s">
        <v>146</v>
      </c>
      <c r="E46" s="21" t="n">
        <v>46283</v>
      </c>
      <c r="F46" s="13" t="n">
        <v>10</v>
      </c>
      <c r="G46" s="13" t="n">
        <v>20480</v>
      </c>
      <c r="H46" s="23"/>
      <c r="I46" s="23"/>
      <c r="J46" s="23"/>
      <c r="K46" s="23"/>
      <c r="L46" s="23"/>
      <c r="M46" s="11"/>
    </row>
    <row r="47" customFormat="false" ht="15" hidden="false" customHeight="false" outlineLevel="0" collapsed="false">
      <c r="B47" s="9" t="s">
        <v>211</v>
      </c>
      <c r="C47" s="9" t="s">
        <v>141</v>
      </c>
      <c r="D47" s="9" t="s">
        <v>142</v>
      </c>
      <c r="E47" s="21" t="n">
        <v>46165</v>
      </c>
      <c r="F47" s="13" t="n">
        <v>7</v>
      </c>
      <c r="G47" s="13" t="n">
        <v>10440</v>
      </c>
      <c r="H47" s="23"/>
      <c r="I47" s="23"/>
      <c r="J47" s="23"/>
      <c r="K47" s="23"/>
      <c r="L47" s="23"/>
      <c r="M47" s="11"/>
    </row>
    <row r="48" customFormat="false" ht="15" hidden="false" customHeight="false" outlineLevel="0" collapsed="false">
      <c r="B48" s="9" t="s">
        <v>212</v>
      </c>
      <c r="C48" s="9" t="s">
        <v>145</v>
      </c>
      <c r="D48" s="9" t="s">
        <v>177</v>
      </c>
      <c r="E48" s="21" t="n">
        <v>46271</v>
      </c>
      <c r="F48" s="13" t="n">
        <v>1</v>
      </c>
      <c r="G48" s="13" t="n">
        <v>1210</v>
      </c>
      <c r="H48" s="23"/>
      <c r="I48" s="23"/>
      <c r="J48" s="23"/>
      <c r="K48" s="23"/>
      <c r="L48" s="23"/>
      <c r="M48" s="11"/>
    </row>
    <row r="49" customFormat="false" ht="15" hidden="false" customHeight="false" outlineLevel="0" collapsed="false">
      <c r="B49" s="9" t="s">
        <v>213</v>
      </c>
      <c r="C49" s="9" t="s">
        <v>149</v>
      </c>
      <c r="D49" s="9" t="s">
        <v>177</v>
      </c>
      <c r="E49" s="21" t="n">
        <v>46097</v>
      </c>
      <c r="F49" s="13" t="n">
        <v>3</v>
      </c>
      <c r="G49" s="13" t="n">
        <v>6550</v>
      </c>
      <c r="H49" s="23"/>
      <c r="I49" s="23"/>
      <c r="J49" s="23"/>
      <c r="K49" s="23"/>
      <c r="L49" s="23"/>
      <c r="M49" s="11"/>
    </row>
    <row r="50" customFormat="false" ht="15" hidden="false" customHeight="false" outlineLevel="0" collapsed="false">
      <c r="B50" s="9" t="s">
        <v>214</v>
      </c>
      <c r="C50" s="9" t="s">
        <v>151</v>
      </c>
      <c r="D50" s="9" t="s">
        <v>138</v>
      </c>
      <c r="E50" s="21" t="n">
        <v>46271</v>
      </c>
      <c r="F50" s="13" t="n">
        <v>2</v>
      </c>
      <c r="G50" s="13" t="n">
        <v>5700</v>
      </c>
      <c r="H50" s="23"/>
      <c r="I50" s="23"/>
      <c r="J50" s="23"/>
      <c r="K50" s="23"/>
      <c r="L50" s="23"/>
      <c r="M50" s="11"/>
    </row>
    <row r="51" customFormat="false" ht="15" hidden="false" customHeight="false" outlineLevel="0" collapsed="false">
      <c r="B51" s="9" t="s">
        <v>215</v>
      </c>
      <c r="C51" s="9" t="s">
        <v>153</v>
      </c>
      <c r="D51" s="9" t="s">
        <v>177</v>
      </c>
      <c r="E51" s="21" t="n">
        <v>45961</v>
      </c>
      <c r="F51" s="13" t="n">
        <v>1</v>
      </c>
      <c r="G51" s="13" t="n">
        <v>1440</v>
      </c>
      <c r="H51" s="23"/>
      <c r="I51" s="23"/>
      <c r="J51" s="23"/>
      <c r="K51" s="23"/>
      <c r="L51" s="23"/>
      <c r="M51" s="11"/>
    </row>
    <row r="52" customFormat="false" ht="15" hidden="false" customHeight="false" outlineLevel="0" collapsed="false">
      <c r="B52" s="9" t="s">
        <v>216</v>
      </c>
      <c r="C52" s="9" t="s">
        <v>155</v>
      </c>
      <c r="D52" s="9" t="s">
        <v>146</v>
      </c>
      <c r="E52" s="21" t="n">
        <v>46136</v>
      </c>
      <c r="F52" s="13" t="n">
        <v>7</v>
      </c>
      <c r="G52" s="13" t="n">
        <v>15820</v>
      </c>
      <c r="H52" s="23"/>
      <c r="I52" s="23"/>
      <c r="J52" s="23"/>
      <c r="K52" s="23"/>
      <c r="L52" s="23"/>
      <c r="M52" s="11"/>
    </row>
    <row r="53" customFormat="false" ht="15" hidden="false" customHeight="false" outlineLevel="0" collapsed="false">
      <c r="B53" s="9" t="s">
        <v>217</v>
      </c>
      <c r="C53" s="9" t="s">
        <v>158</v>
      </c>
      <c r="D53" s="9" t="s">
        <v>166</v>
      </c>
      <c r="E53" s="21" t="n">
        <v>46261</v>
      </c>
      <c r="F53" s="13" t="n">
        <v>5</v>
      </c>
      <c r="G53" s="13" t="n">
        <v>6650</v>
      </c>
      <c r="H53" s="23"/>
      <c r="I53" s="23"/>
      <c r="J53" s="23"/>
      <c r="K53" s="23"/>
      <c r="L53" s="23"/>
      <c r="M53" s="11"/>
    </row>
    <row r="54" customFormat="false" ht="15" hidden="false" customHeight="false" outlineLevel="0" collapsed="false">
      <c r="B54" s="9" t="s">
        <v>218</v>
      </c>
      <c r="C54" s="9" t="s">
        <v>161</v>
      </c>
      <c r="D54" s="9" t="s">
        <v>138</v>
      </c>
      <c r="E54" s="21" t="n">
        <v>46269</v>
      </c>
      <c r="F54" s="13" t="n">
        <v>1</v>
      </c>
      <c r="G54" s="13" t="n">
        <v>2790</v>
      </c>
      <c r="H54" s="23"/>
      <c r="I54" s="23"/>
      <c r="J54" s="23"/>
      <c r="K54" s="23"/>
      <c r="L54" s="23"/>
      <c r="M54" s="11"/>
    </row>
    <row r="55" customFormat="false" ht="15" hidden="false" customHeight="false" outlineLevel="0" collapsed="false">
      <c r="B55" s="9" t="s">
        <v>219</v>
      </c>
      <c r="C55" s="9" t="s">
        <v>165</v>
      </c>
      <c r="D55" s="9" t="s">
        <v>182</v>
      </c>
      <c r="E55" s="21" t="n">
        <v>45987</v>
      </c>
      <c r="F55" s="13" t="n">
        <v>1</v>
      </c>
      <c r="G55" s="13" t="n">
        <v>2710</v>
      </c>
      <c r="H55" s="23"/>
      <c r="I55" s="23"/>
      <c r="J55" s="23"/>
      <c r="K55" s="23"/>
      <c r="L55" s="23"/>
      <c r="M55" s="11"/>
    </row>
    <row r="56" customFormat="false" ht="15" hidden="false" customHeight="false" outlineLevel="0" collapsed="false">
      <c r="B56" s="9" t="s">
        <v>220</v>
      </c>
      <c r="C56" s="9" t="s">
        <v>169</v>
      </c>
      <c r="D56" s="9" t="s">
        <v>142</v>
      </c>
      <c r="E56" s="21" t="n">
        <v>46047</v>
      </c>
      <c r="F56" s="13" t="n">
        <v>7</v>
      </c>
      <c r="G56" s="13" t="n">
        <v>19640</v>
      </c>
      <c r="H56" s="23"/>
      <c r="I56" s="23"/>
      <c r="J56" s="23"/>
      <c r="K56" s="23"/>
      <c r="L56" s="23"/>
      <c r="M56" s="11"/>
    </row>
    <row r="57" customFormat="false" ht="15" hidden="false" customHeight="false" outlineLevel="0" collapsed="false">
      <c r="B57" s="9" t="s">
        <v>221</v>
      </c>
      <c r="C57" s="9" t="s">
        <v>172</v>
      </c>
      <c r="D57" s="9" t="s">
        <v>138</v>
      </c>
      <c r="E57" s="21" t="n">
        <v>46061</v>
      </c>
      <c r="F57" s="13" t="n">
        <v>7</v>
      </c>
      <c r="G57" s="13" t="n">
        <v>14290</v>
      </c>
      <c r="H57" s="23"/>
      <c r="I57" s="23"/>
      <c r="J57" s="23"/>
      <c r="K57" s="23"/>
      <c r="L57" s="23"/>
      <c r="M57" s="11"/>
    </row>
    <row r="58" customFormat="false" ht="15" hidden="false" customHeight="false" outlineLevel="0" collapsed="false">
      <c r="B58" s="9" t="s">
        <v>222</v>
      </c>
      <c r="C58" s="9" t="s">
        <v>174</v>
      </c>
      <c r="D58" s="9" t="s">
        <v>142</v>
      </c>
      <c r="E58" s="21" t="n">
        <v>46287</v>
      </c>
      <c r="F58" s="13" t="n">
        <v>9</v>
      </c>
      <c r="G58" s="13" t="n">
        <v>19980</v>
      </c>
      <c r="H58" s="23"/>
      <c r="I58" s="23"/>
      <c r="J58" s="23"/>
      <c r="K58" s="23"/>
      <c r="L58" s="23"/>
      <c r="M58" s="11"/>
    </row>
    <row r="59" customFormat="false" ht="15" hidden="false" customHeight="false" outlineLevel="0" collapsed="false">
      <c r="B59" s="9" t="s">
        <v>223</v>
      </c>
      <c r="C59" s="9" t="s">
        <v>176</v>
      </c>
      <c r="D59" s="9" t="s">
        <v>162</v>
      </c>
      <c r="E59" s="21" t="n">
        <v>46239</v>
      </c>
      <c r="F59" s="13" t="n">
        <v>4</v>
      </c>
      <c r="G59" s="13" t="n">
        <v>9420</v>
      </c>
      <c r="H59" s="23"/>
      <c r="I59" s="23"/>
      <c r="J59" s="23"/>
      <c r="K59" s="23"/>
      <c r="L59" s="23"/>
      <c r="M59" s="11"/>
    </row>
    <row r="60" customFormat="false" ht="15" hidden="false" customHeight="false" outlineLevel="0" collapsed="false">
      <c r="B60" s="9" t="s">
        <v>224</v>
      </c>
      <c r="C60" s="9" t="s">
        <v>179</v>
      </c>
      <c r="D60" s="9" t="s">
        <v>166</v>
      </c>
      <c r="E60" s="21" t="n">
        <v>46006</v>
      </c>
      <c r="F60" s="13" t="n">
        <v>2</v>
      </c>
      <c r="G60" s="13" t="n">
        <v>5060</v>
      </c>
      <c r="H60" s="23"/>
      <c r="I60" s="23"/>
      <c r="J60" s="23"/>
      <c r="K60" s="23"/>
      <c r="L60" s="23"/>
      <c r="M60" s="11"/>
    </row>
    <row r="61" customFormat="false" ht="15" hidden="false" customHeight="false" outlineLevel="0" collapsed="false">
      <c r="B61" s="9" t="s">
        <v>225</v>
      </c>
      <c r="C61" s="9" t="s">
        <v>181</v>
      </c>
      <c r="D61" s="9" t="s">
        <v>130</v>
      </c>
      <c r="E61" s="21" t="n">
        <v>46096</v>
      </c>
      <c r="F61" s="13" t="n">
        <v>2</v>
      </c>
      <c r="G61" s="13" t="n">
        <v>5200</v>
      </c>
      <c r="H61" s="23"/>
      <c r="I61" s="23"/>
      <c r="J61" s="23"/>
      <c r="K61" s="23"/>
      <c r="L61" s="23"/>
      <c r="M61" s="11"/>
    </row>
    <row r="62" customFormat="false" ht="15" hidden="false" customHeight="false" outlineLevel="0" collapsed="false">
      <c r="B62" s="9" t="s">
        <v>226</v>
      </c>
      <c r="C62" s="9" t="s">
        <v>184</v>
      </c>
      <c r="D62" s="9" t="s">
        <v>162</v>
      </c>
      <c r="E62" s="21" t="n">
        <v>46275</v>
      </c>
      <c r="F62" s="13" t="n">
        <v>3</v>
      </c>
      <c r="G62" s="13" t="n">
        <v>7250</v>
      </c>
      <c r="H62" s="23"/>
      <c r="I62" s="23"/>
      <c r="J62" s="23"/>
      <c r="K62" s="23"/>
      <c r="L62" s="23"/>
      <c r="M62" s="11"/>
    </row>
    <row r="63" customFormat="false" ht="15" hidden="false" customHeight="false" outlineLevel="0" collapsed="false">
      <c r="B63" s="9" t="s">
        <v>227</v>
      </c>
      <c r="C63" s="9" t="s">
        <v>186</v>
      </c>
      <c r="D63" s="9" t="s">
        <v>166</v>
      </c>
      <c r="E63" s="21" t="n">
        <v>46271</v>
      </c>
      <c r="F63" s="13" t="n">
        <v>5</v>
      </c>
      <c r="G63" s="13" t="n">
        <v>9590</v>
      </c>
      <c r="H63" s="23"/>
      <c r="I63" s="23"/>
      <c r="J63" s="23"/>
      <c r="K63" s="23"/>
      <c r="L63" s="23"/>
      <c r="M63" s="11"/>
    </row>
    <row r="64" customFormat="false" ht="15" hidden="false" customHeight="false" outlineLevel="0" collapsed="false">
      <c r="B64" s="9" t="s">
        <v>228</v>
      </c>
      <c r="C64" s="9" t="s">
        <v>188</v>
      </c>
      <c r="D64" s="9" t="s">
        <v>166</v>
      </c>
      <c r="E64" s="21" t="n">
        <v>46206</v>
      </c>
      <c r="F64" s="13" t="n">
        <v>1</v>
      </c>
      <c r="G64" s="13" t="n">
        <v>1440</v>
      </c>
      <c r="H64" s="23"/>
      <c r="I64" s="23"/>
      <c r="J64" s="23"/>
      <c r="K64" s="23"/>
      <c r="L64" s="23"/>
      <c r="M64" s="11"/>
    </row>
    <row r="65" customFormat="false" ht="15" hidden="false" customHeight="false" outlineLevel="0" collapsed="false">
      <c r="B65" s="9" t="s">
        <v>229</v>
      </c>
      <c r="C65" s="9" t="s">
        <v>190</v>
      </c>
      <c r="D65" s="9" t="s">
        <v>138</v>
      </c>
      <c r="E65" s="21" t="n">
        <v>46272</v>
      </c>
      <c r="F65" s="13" t="n">
        <v>2</v>
      </c>
      <c r="G65" s="13" t="n">
        <v>12600</v>
      </c>
      <c r="H65" s="23"/>
      <c r="I65" s="23"/>
      <c r="J65" s="23"/>
      <c r="K65" s="23"/>
      <c r="L65" s="23"/>
      <c r="M65" s="11"/>
    </row>
    <row r="66" customFormat="false" ht="15" hidden="false" customHeight="false" outlineLevel="0" collapsed="false">
      <c r="B66" s="9" t="s">
        <v>230</v>
      </c>
      <c r="C66" s="9" t="s">
        <v>192</v>
      </c>
      <c r="D66" s="9" t="s">
        <v>146</v>
      </c>
      <c r="E66" s="21" t="n">
        <v>46271</v>
      </c>
      <c r="F66" s="13" t="n">
        <v>2</v>
      </c>
      <c r="G66" s="13" t="n">
        <v>22830</v>
      </c>
      <c r="H66" s="23"/>
      <c r="I66" s="23"/>
      <c r="J66" s="23"/>
      <c r="K66" s="23"/>
      <c r="L66" s="23"/>
      <c r="M66" s="11"/>
    </row>
    <row r="67" customFormat="false" ht="15" hidden="false" customHeight="false" outlineLevel="0" collapsed="false">
      <c r="B67" s="9" t="s">
        <v>231</v>
      </c>
      <c r="C67" s="9" t="s">
        <v>194</v>
      </c>
      <c r="D67" s="9" t="s">
        <v>142</v>
      </c>
      <c r="E67" s="21" t="n">
        <v>46292</v>
      </c>
      <c r="F67" s="13" t="n">
        <v>11</v>
      </c>
      <c r="G67" s="13" t="n">
        <v>39880</v>
      </c>
      <c r="H67" s="23"/>
      <c r="I67" s="23"/>
      <c r="J67" s="23"/>
      <c r="K67" s="23"/>
      <c r="L67" s="23"/>
      <c r="M67" s="11"/>
    </row>
    <row r="68" customFormat="false" ht="15" hidden="false" customHeight="false" outlineLevel="0" collapsed="false">
      <c r="B68" s="9" t="s">
        <v>232</v>
      </c>
      <c r="C68" s="9" t="s">
        <v>197</v>
      </c>
      <c r="D68" s="9" t="s">
        <v>166</v>
      </c>
      <c r="E68" s="21" t="n">
        <v>46004</v>
      </c>
      <c r="F68" s="13" t="n">
        <v>5</v>
      </c>
      <c r="G68" s="13" t="n">
        <v>6000</v>
      </c>
      <c r="H68" s="23"/>
      <c r="I68" s="23"/>
      <c r="J68" s="23"/>
      <c r="K68" s="23"/>
      <c r="L68" s="23"/>
      <c r="M68" s="11"/>
    </row>
    <row r="69" customFormat="false" ht="15" hidden="false" customHeight="false" outlineLevel="0" collapsed="false">
      <c r="B69" s="9" t="s">
        <v>233</v>
      </c>
      <c r="C69" s="9" t="s">
        <v>199</v>
      </c>
      <c r="D69" s="9" t="s">
        <v>177</v>
      </c>
      <c r="E69" s="21" t="n">
        <v>46240</v>
      </c>
      <c r="F69" s="13" t="n">
        <v>7</v>
      </c>
      <c r="G69" s="13" t="n">
        <v>28100</v>
      </c>
      <c r="H69" s="23"/>
      <c r="I69" s="23"/>
      <c r="J69" s="23"/>
      <c r="K69" s="23"/>
      <c r="L69" s="23"/>
      <c r="M69" s="11"/>
    </row>
    <row r="70" customFormat="false" ht="15" hidden="false" customHeight="false" outlineLevel="0" collapsed="false">
      <c r="B70" s="9" t="s">
        <v>234</v>
      </c>
      <c r="C70" s="9" t="s">
        <v>201</v>
      </c>
      <c r="D70" s="9" t="s">
        <v>138</v>
      </c>
      <c r="E70" s="21" t="n">
        <v>46263</v>
      </c>
      <c r="F70" s="13" t="n">
        <v>1</v>
      </c>
      <c r="G70" s="13" t="n">
        <v>2090</v>
      </c>
      <c r="H70" s="23"/>
      <c r="I70" s="23"/>
      <c r="J70" s="23"/>
      <c r="K70" s="23"/>
      <c r="L70" s="23"/>
      <c r="M70" s="11"/>
    </row>
    <row r="71" customFormat="false" ht="15" hidden="false" customHeight="false" outlineLevel="0" collapsed="false">
      <c r="B71" s="9" t="s">
        <v>235</v>
      </c>
      <c r="C71" s="9" t="s">
        <v>203</v>
      </c>
      <c r="D71" s="9" t="s">
        <v>195</v>
      </c>
      <c r="E71" s="21" t="n">
        <v>45979</v>
      </c>
      <c r="F71" s="13" t="n">
        <v>2</v>
      </c>
      <c r="G71" s="13" t="n">
        <v>5450</v>
      </c>
      <c r="H71" s="23"/>
      <c r="I71" s="23"/>
      <c r="J71" s="23"/>
      <c r="K71" s="23"/>
      <c r="L71" s="23"/>
      <c r="M71" s="11"/>
    </row>
    <row r="72" customFormat="false" ht="15" hidden="false" customHeight="false" outlineLevel="0" collapsed="false">
      <c r="B72" s="9" t="s">
        <v>236</v>
      </c>
      <c r="C72" s="9" t="s">
        <v>205</v>
      </c>
      <c r="D72" s="9" t="s">
        <v>166</v>
      </c>
      <c r="E72" s="21" t="n">
        <v>46108</v>
      </c>
      <c r="F72" s="13" t="n">
        <v>6</v>
      </c>
      <c r="G72" s="13" t="n">
        <v>7460</v>
      </c>
      <c r="H72" s="23"/>
      <c r="I72" s="23"/>
      <c r="J72" s="23"/>
      <c r="K72" s="23"/>
      <c r="L72" s="23"/>
      <c r="M72" s="11"/>
    </row>
    <row r="73" customFormat="false" ht="15" hidden="false" customHeight="false" outlineLevel="0" collapsed="false">
      <c r="B73" s="9" t="s">
        <v>237</v>
      </c>
      <c r="C73" s="9" t="s">
        <v>207</v>
      </c>
      <c r="D73" s="9" t="s">
        <v>130</v>
      </c>
      <c r="E73" s="21" t="n">
        <v>46256</v>
      </c>
      <c r="F73" s="13" t="n">
        <v>1</v>
      </c>
      <c r="G73" s="13" t="n">
        <v>2160</v>
      </c>
      <c r="H73" s="23"/>
      <c r="I73" s="23"/>
      <c r="J73" s="23"/>
      <c r="K73" s="23"/>
      <c r="L73" s="23"/>
      <c r="M73" s="11"/>
    </row>
  </sheetData>
  <mergeCells count="11">
    <mergeCell ref="C7:K7"/>
    <mergeCell ref="C8:K8"/>
    <mergeCell ref="C9:K9"/>
    <mergeCell ref="C10:K10"/>
    <mergeCell ref="C11:K11"/>
    <mergeCell ref="O22:Q22"/>
    <mergeCell ref="O23:Q23"/>
    <mergeCell ref="O24:Q24"/>
    <mergeCell ref="O25:Q25"/>
    <mergeCell ref="O26:Q26"/>
    <mergeCell ref="R26:T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40"/>
    <col collapsed="false" customWidth="true" hidden="false" outlineLevel="0" max="11" min="4" style="0" width="12"/>
    <col collapsed="false" customWidth="true" hidden="false" outlineLevel="0" max="12" min="12" style="0" width="16"/>
    <col collapsed="false" customWidth="true" hidden="false" outlineLevel="0" max="13" min="13" style="0" width="14"/>
  </cols>
  <sheetData>
    <row r="1" customFormat="false" ht="17.35" hidden="false" customHeight="false" outlineLevel="0" collapsed="false">
      <c r="B1" s="1" t="s">
        <v>238</v>
      </c>
    </row>
    <row r="2" customFormat="false" ht="15" hidden="false" customHeight="false" outlineLevel="0" collapsed="false">
      <c r="B2" s="2" t="s">
        <v>239</v>
      </c>
    </row>
    <row r="4" customFormat="false" ht="54.75" hidden="false" customHeight="true" outlineLevel="0" collapsed="false">
      <c r="B4" s="6" t="s">
        <v>240</v>
      </c>
      <c r="C4" s="6" t="s">
        <v>31</v>
      </c>
      <c r="D4" s="6" t="s">
        <v>32</v>
      </c>
      <c r="E4" s="6" t="s">
        <v>39</v>
      </c>
      <c r="F4" s="6" t="s">
        <v>34</v>
      </c>
      <c r="G4" s="6" t="s">
        <v>35</v>
      </c>
      <c r="H4" s="6" t="s">
        <v>37</v>
      </c>
      <c r="I4" s="6" t="s">
        <v>38</v>
      </c>
      <c r="J4" s="6" t="s">
        <v>42</v>
      </c>
      <c r="K4" s="6" t="s">
        <v>241</v>
      </c>
      <c r="L4" s="6" t="s">
        <v>45</v>
      </c>
      <c r="M4" s="6" t="s">
        <v>46</v>
      </c>
    </row>
    <row r="5" customFormat="false" ht="15" hidden="false" customHeight="false" outlineLevel="0" collapsed="false">
      <c r="B5" s="7" t="s">
        <v>242</v>
      </c>
      <c r="C5" s="9" t="s">
        <v>243</v>
      </c>
      <c r="D5" s="13" t="n">
        <v>720</v>
      </c>
      <c r="E5" s="13" t="n">
        <v>706</v>
      </c>
      <c r="F5" s="13" t="n">
        <v>341</v>
      </c>
      <c r="G5" s="13" t="n">
        <v>16</v>
      </c>
      <c r="H5" s="13" t="n">
        <v>4</v>
      </c>
      <c r="I5" s="13" t="n">
        <v>5600</v>
      </c>
      <c r="J5" s="16" t="n">
        <f aca="false">G5/E5</f>
        <v>0.0226628895184136</v>
      </c>
      <c r="K5" s="15" t="n">
        <f aca="false">G5/F5</f>
        <v>0.0469208211143695</v>
      </c>
      <c r="L5" s="16" t="n">
        <f aca="false">H5/E5</f>
        <v>0.0056657223796034</v>
      </c>
      <c r="M5" s="17" t="n">
        <f aca="false">I5/E5</f>
        <v>7.93201133144476</v>
      </c>
    </row>
    <row r="6" customFormat="false" ht="15" hidden="false" customHeight="false" outlineLevel="0" collapsed="false">
      <c r="B6" s="7" t="s">
        <v>244</v>
      </c>
      <c r="C6" s="9" t="s">
        <v>245</v>
      </c>
      <c r="D6" s="13" t="n">
        <v>720</v>
      </c>
      <c r="E6" s="13" t="n">
        <v>709</v>
      </c>
      <c r="F6" s="13" t="n">
        <v>318</v>
      </c>
      <c r="G6" s="13" t="n">
        <v>27</v>
      </c>
      <c r="H6" s="13" t="n">
        <v>9</v>
      </c>
      <c r="I6" s="13" t="n">
        <v>12150</v>
      </c>
      <c r="J6" s="16"/>
      <c r="K6" s="15"/>
      <c r="L6" s="16"/>
      <c r="M6" s="17"/>
    </row>
    <row r="8" customFormat="false" ht="15" hidden="false" customHeight="false" outlineLevel="0" collapsed="false">
      <c r="B8" s="19" t="s">
        <v>246</v>
      </c>
    </row>
    <row r="10" customFormat="false" ht="15" hidden="false" customHeight="false" outlineLevel="0" collapsed="false">
      <c r="B10" s="3" t="s">
        <v>93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customFormat="false" ht="30" hidden="false" customHeight="true" outlineLevel="0" collapsed="false">
      <c r="B11" s="8" t="s">
        <v>247</v>
      </c>
      <c r="C11" s="8"/>
      <c r="D11" s="8"/>
      <c r="E11" s="8"/>
      <c r="F11" s="8"/>
      <c r="G11" s="8"/>
      <c r="H11" s="15"/>
      <c r="I11" s="15"/>
    </row>
    <row r="12" customFormat="false" ht="30" hidden="false" customHeight="true" outlineLevel="0" collapsed="false">
      <c r="B12" s="8" t="s">
        <v>248</v>
      </c>
      <c r="C12" s="8"/>
      <c r="D12" s="8"/>
      <c r="E12" s="8"/>
      <c r="F12" s="8"/>
      <c r="G12" s="8"/>
      <c r="H12" s="15"/>
      <c r="I12" s="15"/>
    </row>
    <row r="13" customFormat="false" ht="30" hidden="false" customHeight="true" outlineLevel="0" collapsed="false">
      <c r="B13" s="8" t="s">
        <v>249</v>
      </c>
      <c r="C13" s="8"/>
      <c r="D13" s="8"/>
      <c r="E13" s="8"/>
      <c r="F13" s="8"/>
      <c r="G13" s="8"/>
      <c r="H13" s="11"/>
      <c r="I13" s="11"/>
    </row>
    <row r="14" customFormat="false" ht="30" hidden="false" customHeight="true" outlineLevel="0" collapsed="false">
      <c r="B14" s="8" t="s">
        <v>250</v>
      </c>
      <c r="C14" s="8"/>
      <c r="D14" s="8"/>
      <c r="E14" s="8"/>
      <c r="F14" s="8"/>
      <c r="G14" s="8"/>
      <c r="H14" s="11"/>
      <c r="I14" s="11"/>
    </row>
    <row r="15" customFormat="false" ht="99.75" hidden="false" customHeight="true" outlineLevel="0" collapsed="false">
      <c r="B15" s="8" t="s">
        <v>251</v>
      </c>
      <c r="C15" s="8"/>
      <c r="D15" s="8"/>
      <c r="E15" s="8"/>
      <c r="F15" s="8"/>
      <c r="G15" s="8"/>
      <c r="H15" s="20"/>
      <c r="I15" s="20"/>
      <c r="J15" s="20"/>
      <c r="K15" s="20"/>
      <c r="L15" s="20"/>
      <c r="M15" s="20"/>
    </row>
  </sheetData>
  <mergeCells count="10">
    <mergeCell ref="B11:G11"/>
    <mergeCell ref="H11:I11"/>
    <mergeCell ref="B12:G12"/>
    <mergeCell ref="H12:I12"/>
    <mergeCell ref="B13:G13"/>
    <mergeCell ref="H13:I13"/>
    <mergeCell ref="B14:G14"/>
    <mergeCell ref="H14:I14"/>
    <mergeCell ref="B15:G15"/>
    <mergeCell ref="H15:M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8"/>
    <col collapsed="false" customWidth="true" hidden="false" outlineLevel="0" max="9" min="9" style="0" width="12"/>
  </cols>
  <sheetData>
    <row r="1" customFormat="false" ht="17.35" hidden="false" customHeight="false" outlineLevel="0" collapsed="false">
      <c r="B1" s="1" t="s">
        <v>252</v>
      </c>
    </row>
    <row r="2" customFormat="false" ht="15" hidden="false" customHeight="false" outlineLevel="0" collapsed="false">
      <c r="B2" s="2" t="s">
        <v>253</v>
      </c>
    </row>
    <row r="4" customFormat="false" ht="15" hidden="false" customHeight="false" outlineLevel="0" collapsed="false">
      <c r="B4" s="7" t="s">
        <v>254</v>
      </c>
      <c r="C4" s="11"/>
      <c r="D4" s="11"/>
      <c r="E4" s="11"/>
      <c r="F4" s="11"/>
      <c r="G4" s="11"/>
      <c r="H4" s="11"/>
      <c r="I4" s="11"/>
    </row>
    <row r="5" customFormat="false" ht="15" hidden="false" customHeight="false" outlineLevel="0" collapsed="false">
      <c r="B5" s="7" t="s">
        <v>255</v>
      </c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B6" s="7" t="s">
        <v>256</v>
      </c>
      <c r="C6" s="11"/>
      <c r="D6" s="11"/>
      <c r="E6" s="11"/>
      <c r="F6" s="11"/>
      <c r="G6" s="11"/>
      <c r="H6" s="11"/>
      <c r="I6" s="11"/>
    </row>
    <row r="7" customFormat="false" ht="15" hidden="false" customHeight="false" outlineLevel="0" collapsed="false">
      <c r="B7" s="7" t="s">
        <v>257</v>
      </c>
      <c r="C7" s="11"/>
      <c r="D7" s="11"/>
      <c r="E7" s="11"/>
      <c r="F7" s="11"/>
      <c r="G7" s="11"/>
      <c r="H7" s="11"/>
      <c r="I7" s="11"/>
    </row>
    <row r="8" customFormat="false" ht="15" hidden="false" customHeight="false" outlineLevel="0" collapsed="false">
      <c r="B8" s="7" t="s">
        <v>258</v>
      </c>
      <c r="C8" s="11"/>
      <c r="D8" s="11"/>
      <c r="E8" s="11"/>
      <c r="F8" s="11"/>
      <c r="G8" s="11"/>
      <c r="H8" s="11"/>
      <c r="I8" s="11"/>
    </row>
    <row r="10" customFormat="false" ht="35.05" hidden="false" customHeight="false" outlineLevel="0" collapsed="false">
      <c r="B10" s="6" t="s">
        <v>259</v>
      </c>
      <c r="C10" s="6" t="s">
        <v>260</v>
      </c>
      <c r="D10" s="6" t="s">
        <v>261</v>
      </c>
      <c r="E10" s="6" t="s">
        <v>31</v>
      </c>
      <c r="F10" s="6" t="s">
        <v>262</v>
      </c>
      <c r="G10" s="6" t="s">
        <v>263</v>
      </c>
      <c r="H10" s="6" t="s">
        <v>264</v>
      </c>
      <c r="I10" s="6" t="s">
        <v>265</v>
      </c>
    </row>
    <row r="11" customFormat="false" ht="60" hidden="false" customHeight="true" outlineLevel="0" collapsed="false">
      <c r="B11" s="7" t="n">
        <v>1</v>
      </c>
      <c r="C11" s="20"/>
      <c r="D11" s="20"/>
      <c r="E11" s="20"/>
      <c r="F11" s="20"/>
      <c r="G11" s="20"/>
      <c r="H11" s="20"/>
      <c r="I11" s="24" t="n">
        <f aca="false">LEN(E11)</f>
        <v>0</v>
      </c>
    </row>
    <row r="12" customFormat="false" ht="60" hidden="false" customHeight="true" outlineLevel="0" collapsed="false">
      <c r="B12" s="7" t="n">
        <v>2</v>
      </c>
      <c r="C12" s="20"/>
      <c r="D12" s="20"/>
      <c r="E12" s="20"/>
      <c r="F12" s="20"/>
      <c r="G12" s="20"/>
      <c r="H12" s="20"/>
      <c r="I12" s="24" t="n">
        <f aca="false">LEN(E12)</f>
        <v>0</v>
      </c>
    </row>
    <row r="13" customFormat="false" ht="60" hidden="false" customHeight="true" outlineLevel="0" collapsed="false">
      <c r="B13" s="7" t="n">
        <v>3</v>
      </c>
      <c r="C13" s="20"/>
      <c r="D13" s="20"/>
      <c r="E13" s="20"/>
      <c r="F13" s="20"/>
      <c r="G13" s="20"/>
      <c r="H13" s="20"/>
      <c r="I13" s="24" t="n">
        <f aca="false">LEN(E13)</f>
        <v>0</v>
      </c>
    </row>
    <row r="14" customFormat="false" ht="60" hidden="false" customHeight="true" outlineLevel="0" collapsed="false">
      <c r="B14" s="7" t="n">
        <v>4</v>
      </c>
      <c r="C14" s="20"/>
      <c r="D14" s="20"/>
      <c r="E14" s="20"/>
      <c r="F14" s="20"/>
      <c r="G14" s="20"/>
      <c r="H14" s="20"/>
      <c r="I14" s="24" t="n">
        <f aca="false">LEN(E14)</f>
        <v>0</v>
      </c>
    </row>
    <row r="15" customFormat="false" ht="60" hidden="false" customHeight="true" outlineLevel="0" collapsed="false">
      <c r="B15" s="7" t="n">
        <v>5</v>
      </c>
      <c r="C15" s="20"/>
      <c r="D15" s="20"/>
      <c r="E15" s="20"/>
      <c r="F15" s="20"/>
      <c r="G15" s="20"/>
      <c r="H15" s="20"/>
      <c r="I15" s="24" t="n">
        <f aca="false">LEN(E15)</f>
        <v>0</v>
      </c>
    </row>
    <row r="16" customFormat="false" ht="15" hidden="false" customHeight="false" outlineLevel="0" collapsed="false">
      <c r="B16" s="19" t="s">
        <v>266</v>
      </c>
    </row>
    <row r="18" customFormat="false" ht="15" hidden="false" customHeight="false" outlineLevel="0" collapsed="false">
      <c r="B18" s="3" t="s">
        <v>267</v>
      </c>
      <c r="C18" s="4"/>
      <c r="D18" s="4"/>
      <c r="E18" s="4"/>
      <c r="F18" s="4"/>
      <c r="G18" s="4"/>
      <c r="H18" s="4"/>
      <c r="I18" s="4"/>
    </row>
    <row r="19" customFormat="false" ht="54.75" hidden="false" customHeight="true" outlineLevel="0" collapsed="false">
      <c r="B19" s="8" t="s">
        <v>268</v>
      </c>
      <c r="C19" s="8" t="s">
        <v>269</v>
      </c>
      <c r="D19" s="8" t="s">
        <v>270</v>
      </c>
      <c r="E19" s="8" t="s">
        <v>271</v>
      </c>
      <c r="F19" s="8" t="s">
        <v>272</v>
      </c>
      <c r="G19" s="8" t="s">
        <v>273</v>
      </c>
      <c r="H19" s="8" t="s">
        <v>274</v>
      </c>
    </row>
    <row r="21" customFormat="false" ht="90" hidden="false" customHeight="true" outlineLevel="0" collapsed="false">
      <c r="B21" s="8" t="s">
        <v>275</v>
      </c>
      <c r="C21" s="8"/>
      <c r="D21" s="8"/>
      <c r="E21" s="20"/>
      <c r="F21" s="20"/>
      <c r="G21" s="20"/>
      <c r="H21" s="20"/>
    </row>
  </sheetData>
  <mergeCells count="7">
    <mergeCell ref="C4:I4"/>
    <mergeCell ref="C5:I5"/>
    <mergeCell ref="C6:I6"/>
    <mergeCell ref="C7:I7"/>
    <mergeCell ref="C8:I8"/>
    <mergeCell ref="B21:D21"/>
    <mergeCell ref="E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2026-10-10T18:57:10Z</dcterms:created>
  <dc:creator>openpyxl</dc:creator>
  <dc:description/>
  <dc:language>en-US</dc:language>
  <cp:lastModifiedBy/>
  <dcterms:modified xsi:type="dcterms:W3CDTF">2026-10-10T18:57:10Z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