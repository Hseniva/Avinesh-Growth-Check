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1_Unit_Economics" sheetId="2" state="visible" r:id="rId4"/>
    <sheet name="2_Channels" sheetId="3" state="visible" r:id="rId5"/>
    <sheet name="3_Budget" sheetId="4" state="visible" r:id="rId6"/>
    <sheet name="4_Forecast" sheetId="5" state="visible" r:id="rId7"/>
    <sheet name="5_Tracking_Audi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<sst xmlns="http://schemas.openxmlformats.org/spreadsheetml/2006/main" count="328" uniqueCount="274">
  <si>
    <t xml:space="preserve">Week 12 Excel exercise: Performance Marketing &amp; ROAS</t>
  </si>
  <si>
    <t xml:space="preserve">Varangue Home, online home décor shop in Moka, Mauritius (fictional, illustrative data, Q3 2026). Digital Marketing &amp; AI, Oreegami Mauritius</t>
  </si>
  <si>
    <t xml:space="preserve">How to complete it</t>
  </si>
  <si>
    <t xml:space="preserve">1. Work through the 5 tabs in order. Each tab starts with a short brief and the data you need.</t>
  </si>
  <si>
    <t xml:space="preserve">2. Type your answers in the YELLOW cells only. Do not change the data cells.</t>
  </si>
  <si>
    <t xml:space="preserve">3. Use Excel formulas wherever you calculate something (e.g. =C6/C7). Your trainer checks the formulas, not just the numbers.</t>
  </si>
  <si>
    <t xml:space="preserve">4. In each calculation table the first row is done for you as a worked example. Copy the formulas down.</t>
  </si>
  <si>
    <t xml:space="preserve">5. Formulas you will need: SUM, AVERAGE, SUMIFS, COUNTIF, COUNTIFS, INDEX/MATCH, MAX, MIN, RANK, IF, AND.</t>
  </si>
  <si>
    <t xml:space="preserve">6. All amounts are in Mauritian rupees (Rs), excluding VAT unless a tab says otherwise. Section numbers refer to the Week 12 guide.</t>
  </si>
  <si>
    <t xml:space="preserve">7. Save the file as Week12_YourName.xlsx and upload it on the platform. You will receive feedback by email.</t>
  </si>
  <si>
    <t xml:space="preserve">Scoring (out of 20)</t>
  </si>
  <si>
    <t xml:space="preserve">Tab</t>
  </si>
  <si>
    <t xml:space="preserve">What you practise</t>
  </si>
  <si>
    <t xml:space="preserve">Points</t>
  </si>
  <si>
    <t xml:space="preserve">1_Unit_Economics</t>
  </si>
  <si>
    <t xml:space="preserve">AOV, contribution margin, break-even and target ROAS, maximum and target CPA, CAC, LTV, LTV:CAC, POAS and the effect of VAT on ad spend (Sections 2–4)</t>
  </si>
  <si>
    <t xml:space="preserve">2_Channels</t>
  </si>
  <si>
    <t xml:space="preserve">Channel performance: CPA, ROAS, POAS, profit after ads, cost per new customer, iROAS; blended MER, over-claim ratio and nCAC (Sections 3, 7, 8, 22)</t>
  </si>
  <si>
    <t xml:space="preserve">3_Budget</t>
  </si>
  <si>
    <t xml:space="preserve">Budget reallocation of a fixed Rs 300,000 with spend steps, marginal ROAS and diminishing returns (Sections 21–22)</t>
  </si>
  <si>
    <t xml:space="preserve">4_Forecast</t>
  </si>
  <si>
    <t xml:space="preserve">Seasonality index from last year’s sales and a 3-month forecast with three scenarios (Sections 23, 25)</t>
  </si>
  <si>
    <t xml:space="preserve">5_Tracking_Audit</t>
  </si>
  <si>
    <t xml:space="preserve">The 10-point conversion-tracking audit with scoring and a reality check against real orders (Section 16)</t>
  </si>
  <si>
    <t xml:space="preserve">Total</t>
  </si>
  <si>
    <t xml:space="preserve">Legend:</t>
  </si>
  <si>
    <t xml:space="preserve">Yellow cell = your answer</t>
  </si>
  <si>
    <t xml:space="preserve">Blue header = data</t>
  </si>
  <si>
    <t xml:space="preserve">Tab 1: Unit economics and targets, Q3 2026 (July–September)</t>
  </si>
  <si>
    <t xml:space="preserve">Numbers agreed with the owner and the accountant. Revenue excludes VAT. Use contribution, not revenue or gross margin only (Section 2).</t>
  </si>
  <si>
    <t xml:space="preserve">Inputs (data)</t>
  </si>
  <si>
    <t xml:space="preserve">Input</t>
  </si>
  <si>
    <t xml:space="preserve">Value</t>
  </si>
  <si>
    <t xml:space="preserve">Source / note</t>
  </si>
  <si>
    <t xml:space="preserve">Online revenue in the quarter (Rs, excl. VAT)</t>
  </si>
  <si>
    <t xml:space="preserve">Shop system</t>
  </si>
  <si>
    <t xml:space="preserve">Number of orders</t>
  </si>
  <si>
    <t xml:space="preserve">Cost of goods sold (Rs)</t>
  </si>
  <si>
    <t xml:space="preserve">Accountant</t>
  </si>
  <si>
    <t xml:space="preserve">Delivery and packing per order (Rs)</t>
  </si>
  <si>
    <t xml:space="preserve">Courier invoices</t>
  </si>
  <si>
    <t xml:space="preserve">Card payment fee (% of order value)</t>
  </si>
  <si>
    <t xml:space="preserve">Payment provider</t>
  </si>
  <si>
    <t xml:space="preserve">Total marketing spend in the quarter (Rs)</t>
  </si>
  <si>
    <t xml:space="preserve">Google Ads, Meta, email tool (Tab 2)</t>
  </si>
  <si>
    <t xml:space="preserve">New customers in the quarter</t>
  </si>
  <si>
    <t xml:space="preserve">Shop system: first-time buyers</t>
  </si>
  <si>
    <t xml:space="preserve">Orders per customer over 24 months</t>
  </si>
  <si>
    <t xml:space="preserve">Repeat rate from the Week 10 RFM analysis</t>
  </si>
  <si>
    <t xml:space="preserve">Profit goal (% of revenue after ads)</t>
  </si>
  <si>
    <t xml:space="preserve">Owner: mature, stable business</t>
  </si>
  <si>
    <t xml:space="preserve">Calculations (Sections 2–4)</t>
  </si>
  <si>
    <t xml:space="preserve">Metric</t>
  </si>
  <si>
    <t xml:space="preserve">Formula from the guide</t>
  </si>
  <si>
    <t xml:space="preserve">Your answer</t>
  </si>
  <si>
    <t xml:space="preserve">AOV (average order value, Rs)</t>
  </si>
  <si>
    <t xml:space="preserve">Revenue ÷ orders</t>
  </si>
  <si>
    <t xml:space="preserve">Gross margin (%)</t>
  </si>
  <si>
    <t xml:space="preserve">(Revenue − cost of goods) ÷ revenue</t>
  </si>
  <si>
    <t xml:space="preserve">Gross profit per order (Rs)</t>
  </si>
  <si>
    <t xml:space="preserve">AOV × gross margin</t>
  </si>
  <si>
    <t xml:space="preserve">Variable costs per order (Rs)</t>
  </si>
  <si>
    <t xml:space="preserve">Delivery and packing + card fee % × AOV</t>
  </si>
  <si>
    <t xml:space="preserve">Contribution per order (Rs)</t>
  </si>
  <si>
    <t xml:space="preserve">Gross profit per order − variable costs per order</t>
  </si>
  <si>
    <t xml:space="preserve">Contribution margin (%)</t>
  </si>
  <si>
    <t xml:space="preserve">Contribution per order ÷ AOV</t>
  </si>
  <si>
    <t xml:space="preserve">Break-even ROAS</t>
  </si>
  <si>
    <t xml:space="preserve">1 ÷ contribution margin</t>
  </si>
  <si>
    <t xml:space="preserve">Target ROAS for the profit goal</t>
  </si>
  <si>
    <t xml:space="preserve">1 ÷ (contribution margin − profit goal)</t>
  </si>
  <si>
    <t xml:space="preserve">Maximum CPA, break-even (Rs)</t>
  </si>
  <si>
    <t xml:space="preserve">AOV × contribution margin</t>
  </si>
  <si>
    <t xml:space="preserve">Target CPA (Rs)</t>
  </si>
  <si>
    <t xml:space="preserve">AOV ÷ target ROAS</t>
  </si>
  <si>
    <t xml:space="preserve">CAC (customer acquisition cost, Rs)</t>
  </si>
  <si>
    <t xml:space="preserve">Marketing spend ÷ new customers</t>
  </si>
  <si>
    <t xml:space="preserve">LTV (24 months, contribution, Rs)</t>
  </si>
  <si>
    <t xml:space="preserve">Contribution per order × orders per customer</t>
  </si>
  <si>
    <t xml:space="preserve">LTV:CAC</t>
  </si>
  <si>
    <t xml:space="preserve">LTV ÷ CAC</t>
  </si>
  <si>
    <t xml:space="preserve">Payback (number of orders)</t>
  </si>
  <si>
    <t xml:space="preserve">CAC ÷ contribution per order</t>
  </si>
  <si>
    <t xml:space="preserve">Row 18 (AOV) is done for you. Each answer can use the answers above it.</t>
  </si>
  <si>
    <t xml:space="preserve">A Meta campaign in September (data)</t>
  </si>
  <si>
    <t xml:space="preserve">Item</t>
  </si>
  <si>
    <t xml:space="preserve">Note</t>
  </si>
  <si>
    <t xml:space="preserve">Spend shown in Ads Manager (Rs, excl. VAT)</t>
  </si>
  <si>
    <t xml:space="preserve">Meta Advantage+ sales campaign</t>
  </si>
  <si>
    <t xml:space="preserve">Purchase value reported by Meta (Rs)</t>
  </si>
  <si>
    <t xml:space="preserve">Default attribution setting</t>
  </si>
  <si>
    <t xml:space="preserve">Non-recoverable VAT on the Meta invoice</t>
  </si>
  <si>
    <t xml:space="preserve">Varangue Home is not VAT-registered (Section 5)</t>
  </si>
  <si>
    <t xml:space="preserve">Questions</t>
  </si>
  <si>
    <t xml:space="preserve">Q1. Break-even ROAS if you (wrongly) used the gross margin only, ignoring delivery and payment fees</t>
  </si>
  <si>
    <t xml:space="preserve">Q2. Target ROAS to type into Google Ads, as a percentage</t>
  </si>
  <si>
    <t xml:space="preserve">Q3. Is LTV:CAC at or above the 3:1 rule of thumb? (IF, answer "Yes" or "No")</t>
  </si>
  <si>
    <t xml:space="preserve">Q4. ROAS of the Meta campaign as reported by Ads Manager</t>
  </si>
  <si>
    <t xml:space="preserve">Q5. POAS of the Meta campaign (attributed contribution ÷ ad spend)</t>
  </si>
  <si>
    <t xml:space="preserve">Q6. Real ROAS of the Meta campaign once the 15% non-recoverable VAT is added to the spend</t>
  </si>
  <si>
    <t xml:space="preserve">Q7. The owner says: "Let’s set the target ROAS to 200% on Google to get more sales." In 3–4 sentences, answer using your numbers (Section 4).</t>
  </si>
  <si>
    <t xml:space="preserve">Tab 2: Channel performance, Q3 2026 (July–September)</t>
  </si>
  <si>
    <t xml:space="preserve">Platform figures (Google Ads uses the Google tag purchase action only). Email cost = tool + content time. Incrementality = share of reported revenue the ads really caused (tests and Section 7).</t>
  </si>
  <si>
    <t xml:space="preserve">Contribution margin (from Tab 1)</t>
  </si>
  <si>
    <t xml:space="preserve">Break-even ROAS (1 ÷ contribution margin)</t>
  </si>
  <si>
    <t xml:space="preserve">Channel</t>
  </si>
  <si>
    <t xml:space="preserve">Ad spend (Rs)</t>
  </si>
  <si>
    <t xml:space="preserve">Conversions (platform)</t>
  </si>
  <si>
    <t xml:space="preserve">Revenue (platform, Rs)</t>
  </si>
  <si>
    <t xml:space="preserve">New customers (platform)</t>
  </si>
  <si>
    <t xml:space="preserve">Estimated incrementality</t>
  </si>
  <si>
    <t xml:space="preserve">CPA (Rs)</t>
  </si>
  <si>
    <t xml:space="preserve">ROAS</t>
  </si>
  <si>
    <t xml:space="preserve">POAS</t>
  </si>
  <si>
    <t xml:space="preserve">Profit after ads (Rs)</t>
  </si>
  <si>
    <t xml:space="preserve">Cost per new customer (Rs)</t>
  </si>
  <si>
    <t xml:space="preserve">iROAS (incremental ROAS)</t>
  </si>
  <si>
    <t xml:space="preserve">Google Search (generic)</t>
  </si>
  <si>
    <t xml:space="preserve">Google Search (brand)</t>
  </si>
  <si>
    <t xml:space="preserve">Performance Max</t>
  </si>
  <si>
    <t xml:space="preserve">Meta Advantage+ (prospecting)</t>
  </si>
  <si>
    <t xml:space="preserve">Meta retargeting</t>
  </si>
  <si>
    <t xml:space="preserve">Email (Brevo + content)</t>
  </si>
  <si>
    <t xml:space="preserve">Total (sum of platforms)</t>
  </si>
  <si>
    <t xml:space="preserve">Row 8 is done for you. Copy columns H–M down. Complete the Total row from the totals (not by averaging). Profit after ads = revenue × contribution margin − spend.</t>
  </si>
  <si>
    <t xml:space="preserve">Blended view: the whole business (Section 8)</t>
  </si>
  <si>
    <t xml:space="preserve">Formula</t>
  </si>
  <si>
    <t xml:space="preserve">Real online revenue, shop system (Rs)</t>
  </si>
  <si>
    <t xml:space="preserve">Data</t>
  </si>
  <si>
    <t xml:space="preserve">New customers, shop system</t>
  </si>
  <si>
    <t xml:space="preserve">MER (blended ROAS)</t>
  </si>
  <si>
    <t xml:space="preserve">Real revenue ÷ total marketing spend</t>
  </si>
  <si>
    <t xml:space="preserve">Platform over-claim ratio</t>
  </si>
  <si>
    <t xml:space="preserve">Sum of platform revenue ÷ real revenue</t>
  </si>
  <si>
    <t xml:space="preserve">nCAC (Rs)</t>
  </si>
  <si>
    <t xml:space="preserve">Total marketing spend ÷ new customers (shop)</t>
  </si>
  <si>
    <t xml:space="preserve">Contribution after marketing (Rs)</t>
  </si>
  <si>
    <t xml:space="preserve">Real revenue × contribution margin − total spend</t>
  </si>
  <si>
    <t xml:space="preserve">Q1. Which channel has the highest platform ROAS? (INDEX/MATCH)</t>
  </si>
  <si>
    <t xml:space="preserve">Q2. Which channel has the highest iROAS?</t>
  </si>
  <si>
    <t xml:space="preserve">Q3. Which channel has the lowest iROAS?</t>
  </si>
  <si>
    <t xml:space="preserve">Q4. How many channels have an iROAS below break-even ROAS? (COUNTIF)</t>
  </si>
  <si>
    <t xml:space="preserve">Q5. Which channel has the lowest cost per new customer?</t>
  </si>
  <si>
    <t xml:space="preserve">Q6. The owner says: "Brand search and retargeting have by far the best ROAS. Let’s move the Meta Advantage+ budget there." In 3–4 sentences, give your recommendation using ROAS, iROAS, new customers, MER and the over-claim ratio (Sections 7, 8, 22).</t>
  </si>
  <si>
    <t xml:space="preserve">Tab 3: Budget reallocation with diminishing returns (monthly budget)</t>
  </si>
  <si>
    <t xml:space="preserve">Extra revenue per Rs 25,000 step, estimated from bid simulators, history and a holdout test. Each step must be funded in order (step 2 after step 1).</t>
  </si>
  <si>
    <t xml:space="preserve">Fixed monthly budget (Rs)</t>
  </si>
  <si>
    <t xml:space="preserve">Size of one budget step (Rs)</t>
  </si>
  <si>
    <t xml:space="preserve">Contribution margin</t>
  </si>
  <si>
    <t xml:space="preserve">Step</t>
  </si>
  <si>
    <t xml:space="preserve">Spend range (Rs)</t>
  </si>
  <si>
    <t xml:space="preserve">Cumulative spend at end of step (Rs)</t>
  </si>
  <si>
    <t xml:space="preserve">Step spend (Rs)</t>
  </si>
  <si>
    <t xml:space="preserve">Extra revenue from this step (Rs)</t>
  </si>
  <si>
    <t xml:space="preserve">Marginal ROAS</t>
  </si>
  <si>
    <t xml:space="preserve">Above break-even?</t>
  </si>
  <si>
    <t xml:space="preserve">Rank (1 = best)</t>
  </si>
  <si>
    <t xml:space="preserve">Funded?</t>
  </si>
  <si>
    <t xml:space="preserve">0 – 25,000</t>
  </si>
  <si>
    <t xml:space="preserve">25,000 – 50,000</t>
  </si>
  <si>
    <t xml:space="preserve">50,000 – 75,000</t>
  </si>
  <si>
    <t xml:space="preserve">75,000 – 100,000</t>
  </si>
  <si>
    <t xml:space="preserve">Meta Advantage+</t>
  </si>
  <si>
    <t xml:space="preserve">Row 10 is done for you. Copy H–K down. Rule (Section 21): fund the steps with the highest marginal ROAS first until the budget is used, never a step below break-even.</t>
  </si>
  <si>
    <t xml:space="preserve">Current vs proposed split</t>
  </si>
  <si>
    <t xml:space="preserve">Current spend (Rs)</t>
  </si>
  <si>
    <t xml:space="preserve">Current revenue (Rs)</t>
  </si>
  <si>
    <t xml:space="preserve">Current average ROAS</t>
  </si>
  <si>
    <t xml:space="preserve">Marginal ROAS of the last current step</t>
  </si>
  <si>
    <t xml:space="preserve">Proposed spend (Rs)</t>
  </si>
  <si>
    <t xml:space="preserve">Proposed revenue (Rs)</t>
  </si>
  <si>
    <t xml:space="preserve">Proposed average ROAS</t>
  </si>
  <si>
    <t xml:space="preserve">Change in spend (Rs)</t>
  </si>
  <si>
    <t xml:space="preserve">Current:</t>
  </si>
  <si>
    <t xml:space="preserve">Proposed:</t>
  </si>
  <si>
    <t xml:space="preserve">Row 30 is done for you. Use SUMIFS on the step table. Profit after ads = revenue × contribution margin − spend.</t>
  </si>
  <si>
    <t xml:space="preserve">Q1. Total proposed spend (Rs)</t>
  </si>
  <si>
    <t xml:space="preserve">Q2. Budget left unallocated because no step above break-even remains (Rs)</t>
  </si>
  <si>
    <t xml:space="preserve">Q3. Change in monthly profit after ads, proposed − current (Rs)</t>
  </si>
  <si>
    <t xml:space="preserve">Q4. Which channel loses the most budget? (INDEX/MATCH)</t>
  </si>
  <si>
    <t xml:space="preserve">Q5. Meta retargeting today: average ROAS minus the marginal ROAS of its last step</t>
  </si>
  <si>
    <t xml:space="preserve">Q6. In 3–4 sentences: why do you cut Meta retargeting although its current average ROAS is above break-even, and what would you do with the unallocated budget (Sections 21–22)?</t>
  </si>
  <si>
    <t xml:space="preserve">Tab 4: Seasonality and a 3-month forecast (November 2026 – January 2027)</t>
  </si>
  <si>
    <t xml:space="preserve">Spend × ROAS model (Section 25). Seasonality index from last year’s shop sales (Section 23). Diminishing-returns factor lowers ROAS when spend rises.</t>
  </si>
  <si>
    <t xml:space="preserve">Month (2025)</t>
  </si>
  <si>
    <t xml:space="preserve">Shop sales (Rs)</t>
  </si>
  <si>
    <t xml:space="preserve">Seasonality index</t>
  </si>
  <si>
    <t xml:space="preserve">Base ROAS (last 3 normal months)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</si>
  <si>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</si>
  <si>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</si>
  <si>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</si>
  <si>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</si>
  <si>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</si>
  <si>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</si>
  <si>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</si>
  <si>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</si>
  <si>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</si>
  <si>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</si>
  <si>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</si>
  <si>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</si>
  <si>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Average month</t>
  </si>
  <si>
    <t xml:space="preserve">Index = month ÷ average month (1.0 = normal). Jan is done for you; copy down.</t>
  </si>
  <si>
    <t xml:space="preserve">Forecast month</t>
  </si>
  <si>
    <t xml:space="preserve">Month key</t>
  </si>
  <si>
    <t xml:space="preserve">Planned ad spend (Rs)</t>
  </si>
  <si>
    <t xml:space="preserve">Seasonality index (INDEX/MATCH)</t>
  </si>
  <si>
    <t xml:space="preserve">Diminishing-returns factor</t>
  </si>
  <si>
    <t xml:space="preserve">Expected ROAS</t>
  </si>
  <si>
    <t xml:space="preserve">Revenue (Rs)</t>
  </si>
  <si>
    <t xml:space="preserve">Contribution (Rs)</t>
  </si>
  <si>
    <t xml:space="preserve">November 2026</t>
  </si>
  <si>
    <t xml:space="preserve">December 2026</t>
  </si>
  <si>
    <t xml:space="preserve">January 2027</t>
  </si>
  <si>
    <t xml:space="preserve">Total, expected</t>
  </si>
  <si>
    <t xml:space="preserve">November is done for you. Expected ROAS = base ROAS × seasonality index × diminishing-returns factor. Total ROAS = total revenue ÷ total spend.</t>
  </si>
  <si>
    <t xml:space="preserve">Scenario</t>
  </si>
  <si>
    <t xml:space="preserve">Revenue factor</t>
  </si>
  <si>
    <t xml:space="preserve">Conservative</t>
  </si>
  <si>
    <t xml:space="preserve">Expected</t>
  </si>
  <si>
    <t xml:space="preserve">Optimistic</t>
  </si>
  <si>
    <t xml:space="preserve">Spend stays the same in every scenario; only the revenue changes. Conservative is done for you.</t>
  </si>
  <si>
    <t xml:space="preserve">Q1. Which month of 2025 had the highest seasonality index? (INDEX/MATCH)</t>
  </si>
  <si>
    <t xml:space="preserve">Q2. How many months of 2025 were above normal (index &gt; 1)? (COUNTIF)</t>
  </si>
  <si>
    <t xml:space="preserve">Q3. Total expected revenue for the 3 months (Rs)</t>
  </si>
  <si>
    <t xml:space="preserve">Q4. Profit after ads in the conservative scenario (Rs)</t>
  </si>
  <si>
    <t xml:space="preserve">Q5. December spend needed to reach Rs 1,000,000 of revenue at the expected December ROAS (Rs)</t>
  </si>
  <si>
    <t xml:space="preserve">Q6. In 3–4 sentences: write two assumptions of this forecast, and say what you would check before approving the extra December spend from Q5 (Sections 21, 23, 25).</t>
  </si>
  <si>
    <t xml:space="preserve">Tab 5: Conversion-tracking audit, Varangue Home, September 2026</t>
  </si>
  <si>
    <t xml:space="preserve">The 10-point checklist from Section 16. Status: Pass / Partial / Fail. Priority: High / Medium / Low. Points: Pass = 2, Partial = 1, Fail = 0.</t>
  </si>
  <si>
    <t xml:space="preserve">#</t>
  </si>
  <si>
    <t xml:space="preserve">Check</t>
  </si>
  <si>
    <t xml:space="preserve">Evidence found</t>
  </si>
  <si>
    <t xml:space="preserve">Status</t>
  </si>
  <si>
    <t xml:space="preserve">Priority</t>
  </si>
  <si>
    <t xml:space="preserve">Fix / next action</t>
  </si>
  <si>
    <t xml:space="preserve">Primary conversions match business goals</t>
  </si>
  <si>
    <t xml:space="preserve">Google Ads: "Purchase (Google tag)" is primary, but "Add to cart" is also primary at account level and used by Performance Max. Meta: Advantage+ optimises for Purchase.</t>
  </si>
  <si>
    <t xml:space="preserve">Partial</t>
  </si>
  <si>
    <t xml:space="preserve">High</t>
  </si>
  <si>
    <t xml:space="preserve">Set "Add to cart" to secondary; keep one primary purchase action.</t>
  </si>
  <si>
    <t xml:space="preserve">Values are sent and correct</t>
  </si>
  <si>
    <t xml:space="preserve">10 recent orders compared: Google tag values match the shop (excl. VAT). In Meta, 3 of the 10 server (CAPI) Purchase events arrive with value 0.</t>
  </si>
  <si>
    <t xml:space="preserve">No double counting</t>
  </si>
  <si>
    <t xml:space="preserve">"GA4 purchase (import)" is ALSO a primary action next to the Google tag purchase. Meta: event_id deduplication working.</t>
  </si>
  <si>
    <t xml:space="preserve">Counting setting fits the action</t>
  </si>
  <si>
    <t xml:space="preserve">Purchases counted "Every"; "Contact form" (secondary) counted "One".</t>
  </si>
  <si>
    <t xml:space="preserve">Enhanced conversions on and healthy</t>
  </si>
  <si>
    <t xml:space="preserve">Not switched on in Goals → Settings; no diagnostics available.</t>
  </si>
  <si>
    <t xml:space="preserve">Consent mode v2 working</t>
  </si>
  <si>
    <t xml:space="preserve">Cookie banner live, but Tag Assistant shows the Google tag fires before the visitor answers (no consent defaults). About 8% of visitors are from France and Réunion.</t>
  </si>
  <si>
    <t xml:space="preserve">Meta Pixel + CAPI connected</t>
  </si>
  <si>
    <t xml:space="preserve">Connection method "Multiple" for Purchase, AddToCart and InitiateCheckout; Event Match Quality 7.2/10 for Purchase.</t>
  </si>
  <si>
    <t xml:space="preserve">Offline sales imported</t>
  </si>
  <si>
    <t xml:space="preserve">About 15% of orders come through WhatsApp and are paid by bank transfer. They are logged in a Google Sheet but never uploaded to Google or Meta.</t>
  </si>
  <si>
    <t xml:space="preserve">GA4 key events and links</t>
  </si>
  <si>
    <t xml:space="preserve">purchase is marked as a key event; GA4 is linked to Google Ads and Search Console.</t>
  </si>
  <si>
    <t xml:space="preserve">Reality check vs real orders</t>
  </si>
  <si>
    <t xml:space="preserve">See the reality check below (last 30 days): Google Ads and Meta compared with real orders.</t>
  </si>
  <si>
    <t xml:space="preserve">Check 1 is done for you. Choose Status and Priority from the drop-downs, copy the Points formula down and write a short fix for each check.</t>
  </si>
  <si>
    <t xml:space="preserve">Reality check, last 30 days (Section 16): tracking gap = (platform purchases − real orders) ÷ real orders</t>
  </si>
  <si>
    <t xml:space="preserve">Source</t>
  </si>
  <si>
    <t xml:space="preserve">Purchases reported</t>
  </si>
  <si>
    <t xml:space="preserve">Real orders (shop system)</t>
  </si>
  <si>
    <t xml:space="preserve">Tracking gap</t>
  </si>
  <si>
    <t xml:space="preserve">Google Ads (all primary actions)</t>
  </si>
  <si>
    <t xml:space="preserve">Meta Ads Manager (default attribution)</t>
  </si>
  <si>
    <t xml:space="preserve">GA4 (purchase key events)</t>
  </si>
  <si>
    <t xml:space="preserve">Score and questions</t>
  </si>
  <si>
    <t xml:space="preserve">Q1. Total audit score out of 20 (SUM of Points)</t>
  </si>
  <si>
    <t xml:space="preserve">Q2. Score as a percentage of 20</t>
  </si>
  <si>
    <t xml:space="preserve">Q3. Number of checks marked Fail (COUNTIF)</t>
  </si>
  <si>
    <t xml:space="preserve">Q4. Number of high-priority Fails (COUNTIFS)</t>
  </si>
  <si>
    <t xml:space="preserve">Q5. Which source has the largest tracking gap? (INDEX/MATCH)</t>
  </si>
  <si>
    <t xml:space="preserve">Q6. In 3–4 sentences: in which order would you fix the problems, what explains the Google Ads gap, and why must this happen before any change to target ROAS or budgets?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</si>
</sst>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0.0%"/>
    <numFmt numFmtId="167" formatCode="0.0"/>
    <numFmt numFmtId="168" formatCode="0.00"/>
    <numFmt numFmtId="169" formatCode="0%"/>
    <numFmt numFmtId="170" formatCode="0"/>
    <numFmt numFmtId="171" formatCode="\+#,##0;\-#,##0;0"/>
    <numFmt numFmtId="172" formatCode="\+0.0%;\-0.0%;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FFFFFF"/>
      <name val="Arial"/>
      <family val="0"/>
      <charset val="1"/>
    </font>
    <font>
      <i val="true"/>
      <sz val="10"/>
      <color rgb="FF1F4E78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8F5"/>
        <bgColor rgb="FFCCFFFF"/>
      </patternFill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8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3" min="3" style="0" width="92"/>
    <col collapsed="false" customWidth="true" hidden="false" outlineLevel="0" max="4" min="4" style="0" width="1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  <c r="C4" s="4"/>
      <c r="D4" s="4"/>
    </row>
    <row r="5" customFormat="false" ht="15" hidden="false" customHeight="false" outlineLevel="0" collapsed="false">
      <c r="B5" s="5" t="s">
        <v>3</v>
      </c>
    </row>
    <row r="6" customFormat="false" ht="15" hidden="false" customHeight="false" outlineLevel="0" collapsed="false">
      <c r="B6" s="5" t="s">
        <v>4</v>
      </c>
    </row>
    <row r="7" customFormat="false" ht="15" hidden="false" customHeight="false" outlineLevel="0" collapsed="false">
      <c r="B7" s="5" t="s">
        <v>5</v>
      </c>
    </row>
    <row r="8" customFormat="false" ht="15" hidden="false" customHeight="false" outlineLevel="0" collapsed="false">
      <c r="B8" s="5" t="s">
        <v>6</v>
      </c>
    </row>
    <row r="9" customFormat="false" ht="15" hidden="false" customHeight="false" outlineLevel="0" collapsed="false">
      <c r="B9" s="5" t="s">
        <v>7</v>
      </c>
    </row>
    <row r="10" customFormat="false" ht="15" hidden="false" customHeight="false" outlineLevel="0" collapsed="false">
      <c r="B10" s="5" t="s">
        <v>8</v>
      </c>
    </row>
    <row r="11" customFormat="false" ht="15" hidden="false" customHeight="false" outlineLevel="0" collapsed="false">
      <c r="B11" s="5" t="s">
        <v>9</v>
      </c>
    </row>
    <row r="13" customFormat="false" ht="15" hidden="false" customHeight="false" outlineLevel="0" collapsed="false">
      <c r="B13" s="3" t="s">
        <v>10</v>
      </c>
      <c r="C13" s="4"/>
      <c r="D13" s="4"/>
    </row>
    <row r="14" customFormat="false" ht="15" hidden="false" customHeight="false" outlineLevel="0" collapsed="false">
      <c r="B14" s="6" t="s">
        <v>11</v>
      </c>
      <c r="C14" s="6" t="s">
        <v>12</v>
      </c>
      <c r="D14" s="6" t="s">
        <v>13</v>
      </c>
    </row>
    <row r="15" customFormat="false" ht="30" hidden="false" customHeight="true" outlineLevel="0" collapsed="false">
      <c r="B15" s="7" t="s">
        <v>14</v>
      </c>
      <c r="C15" s="8" t="s">
        <v>15</v>
      </c>
      <c r="D15" s="9" t="n">
        <v>4</v>
      </c>
    </row>
    <row r="16" customFormat="false" ht="30" hidden="false" customHeight="true" outlineLevel="0" collapsed="false">
      <c r="B16" s="7" t="s">
        <v>16</v>
      </c>
      <c r="C16" s="8" t="s">
        <v>17</v>
      </c>
      <c r="D16" s="9" t="n">
        <v>5</v>
      </c>
    </row>
    <row r="17" customFormat="false" ht="30" hidden="false" customHeight="true" outlineLevel="0" collapsed="false">
      <c r="B17" s="7" t="s">
        <v>18</v>
      </c>
      <c r="C17" s="8" t="s">
        <v>19</v>
      </c>
      <c r="D17" s="9" t="n">
        <v>5</v>
      </c>
    </row>
    <row r="18" customFormat="false" ht="30" hidden="false" customHeight="true" outlineLevel="0" collapsed="false">
      <c r="B18" s="7" t="s">
        <v>20</v>
      </c>
      <c r="C18" s="8" t="s">
        <v>21</v>
      </c>
      <c r="D18" s="9" t="n">
        <v>3</v>
      </c>
    </row>
    <row r="19" customFormat="false" ht="30" hidden="false" customHeight="true" outlineLevel="0" collapsed="false">
      <c r="B19" s="7" t="s">
        <v>22</v>
      </c>
      <c r="C19" s="8" t="s">
        <v>23</v>
      </c>
      <c r="D19" s="9" t="n">
        <v>3</v>
      </c>
    </row>
    <row r="20" customFormat="false" ht="15" hidden="false" customHeight="false" outlineLevel="0" collapsed="false">
      <c r="B20" s="7" t="s">
        <v>24</v>
      </c>
      <c r="D20" s="7" t="n">
        <f aca="false">SUM(D15:D19)</f>
        <v>20</v>
      </c>
    </row>
    <row r="22" customFormat="false" ht="15" hidden="false" customHeight="false" outlineLevel="0" collapsed="false">
      <c r="B22" s="10" t="s">
        <v>25</v>
      </c>
      <c r="C22" s="11" t="s">
        <v>26</v>
      </c>
      <c r="D22" s="12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3" min="2" style="0" width="44"/>
    <col collapsed="false" customWidth="true" hidden="false" outlineLevel="0" max="4" min="4" style="0" width="30"/>
    <col collapsed="false" customWidth="true" hidden="false" outlineLevel="0" max="5" min="5" style="0" width="10"/>
    <col collapsed="false" customWidth="true" hidden="false" outlineLevel="0" max="7" min="6" style="0" width="12"/>
  </cols>
  <sheetData>
    <row r="1" customFormat="false" ht="17.35" hidden="false" customHeight="false" outlineLevel="0" collapsed="false">
      <c r="B1" s="1" t="s">
        <v>28</v>
      </c>
    </row>
    <row r="2" customFormat="false" ht="15" hidden="false" customHeight="false" outlineLevel="0" collapsed="false">
      <c r="B2" s="2" t="s">
        <v>29</v>
      </c>
    </row>
    <row r="4" customFormat="false" ht="15" hidden="false" customHeight="false" outlineLevel="0" collapsed="false">
      <c r="B4" s="3" t="s">
        <v>30</v>
      </c>
      <c r="C4" s="4"/>
      <c r="D4" s="4"/>
      <c r="E4" s="4"/>
    </row>
    <row r="5" customFormat="false" ht="15" hidden="false" customHeight="false" outlineLevel="0" collapsed="false">
      <c r="B5" s="6" t="s">
        <v>31</v>
      </c>
      <c r="C5" s="6" t="s">
        <v>32</v>
      </c>
      <c r="D5" s="6" t="s">
        <v>33</v>
      </c>
    </row>
    <row r="6" customFormat="false" ht="15" hidden="false" customHeight="false" outlineLevel="0" collapsed="false">
      <c r="B6" s="9" t="s">
        <v>34</v>
      </c>
      <c r="C6" s="13" t="n">
        <v>1620000</v>
      </c>
      <c r="D6" s="9" t="s">
        <v>35</v>
      </c>
    </row>
    <row r="7" customFormat="false" ht="15" hidden="false" customHeight="false" outlineLevel="0" collapsed="false">
      <c r="B7" s="9" t="s">
        <v>36</v>
      </c>
      <c r="C7" s="13" t="n">
        <v>360</v>
      </c>
      <c r="D7" s="9" t="s">
        <v>35</v>
      </c>
    </row>
    <row r="8" customFormat="false" ht="15" hidden="false" customHeight="false" outlineLevel="0" collapsed="false">
      <c r="B8" s="9" t="s">
        <v>37</v>
      </c>
      <c r="C8" s="13" t="n">
        <v>842400</v>
      </c>
      <c r="D8" s="9" t="s">
        <v>38</v>
      </c>
    </row>
    <row r="9" customFormat="false" ht="15" hidden="false" customHeight="false" outlineLevel="0" collapsed="false">
      <c r="B9" s="9" t="s">
        <v>39</v>
      </c>
      <c r="C9" s="13" t="n">
        <v>225</v>
      </c>
      <c r="D9" s="9" t="s">
        <v>40</v>
      </c>
    </row>
    <row r="10" customFormat="false" ht="15" hidden="false" customHeight="false" outlineLevel="0" collapsed="false">
      <c r="B10" s="9" t="s">
        <v>41</v>
      </c>
      <c r="C10" s="14" t="n">
        <v>0.02</v>
      </c>
      <c r="D10" s="9" t="s">
        <v>42</v>
      </c>
    </row>
    <row r="11" customFormat="false" ht="15" hidden="false" customHeight="false" outlineLevel="0" collapsed="false">
      <c r="B11" s="9" t="s">
        <v>43</v>
      </c>
      <c r="C11" s="13" t="n">
        <v>405000</v>
      </c>
      <c r="D11" s="9" t="s">
        <v>44</v>
      </c>
    </row>
    <row r="12" customFormat="false" ht="15" hidden="false" customHeight="false" outlineLevel="0" collapsed="false">
      <c r="B12" s="9" t="s">
        <v>45</v>
      </c>
      <c r="C12" s="13" t="n">
        <v>270</v>
      </c>
      <c r="D12" s="9" t="s">
        <v>46</v>
      </c>
    </row>
    <row r="13" customFormat="false" ht="15" hidden="false" customHeight="false" outlineLevel="0" collapsed="false">
      <c r="B13" s="9" t="s">
        <v>47</v>
      </c>
      <c r="C13" s="15" t="n">
        <v>2.2</v>
      </c>
      <c r="D13" s="9" t="s">
        <v>48</v>
      </c>
    </row>
    <row r="14" customFormat="false" ht="15" hidden="false" customHeight="false" outlineLevel="0" collapsed="false">
      <c r="B14" s="9" t="s">
        <v>49</v>
      </c>
      <c r="C14" s="14" t="n">
        <v>0.12</v>
      </c>
      <c r="D14" s="9" t="s">
        <v>50</v>
      </c>
    </row>
    <row r="16" customFormat="false" ht="15" hidden="false" customHeight="false" outlineLevel="0" collapsed="false">
      <c r="B16" s="3" t="s">
        <v>51</v>
      </c>
      <c r="C16" s="4"/>
      <c r="D16" s="4"/>
      <c r="E16" s="4"/>
    </row>
    <row r="17" customFormat="false" ht="15" hidden="false" customHeight="false" outlineLevel="0" collapsed="false">
      <c r="B17" s="6" t="s">
        <v>52</v>
      </c>
      <c r="C17" s="6" t="s">
        <v>53</v>
      </c>
      <c r="D17" s="6" t="s">
        <v>54</v>
      </c>
    </row>
    <row r="18" customFormat="false" ht="15" hidden="false" customHeight="false" outlineLevel="0" collapsed="false">
      <c r="B18" s="7" t="s">
        <v>55</v>
      </c>
      <c r="C18" s="9" t="s">
        <v>56</v>
      </c>
      <c r="D18" s="16" t="n">
        <f aca="false">C6/C7</f>
        <v>4500</v>
      </c>
    </row>
    <row r="19" customFormat="false" ht="15" hidden="false" customHeight="false" outlineLevel="0" collapsed="false">
      <c r="B19" s="7" t="s">
        <v>57</v>
      </c>
      <c r="C19" s="9" t="s">
        <v>58</v>
      </c>
      <c r="D19" s="17"/>
    </row>
    <row r="20" customFormat="false" ht="15" hidden="false" customHeight="false" outlineLevel="0" collapsed="false">
      <c r="B20" s="7" t="s">
        <v>59</v>
      </c>
      <c r="C20" s="9" t="s">
        <v>60</v>
      </c>
      <c r="D20" s="16"/>
    </row>
    <row r="21" customFormat="false" ht="15" hidden="false" customHeight="false" outlineLevel="0" collapsed="false">
      <c r="B21" s="7" t="s">
        <v>61</v>
      </c>
      <c r="C21" s="9" t="s">
        <v>62</v>
      </c>
      <c r="D21" s="16"/>
    </row>
    <row r="22" customFormat="false" ht="15" hidden="false" customHeight="false" outlineLevel="0" collapsed="false">
      <c r="B22" s="7" t="s">
        <v>63</v>
      </c>
      <c r="C22" s="9" t="s">
        <v>64</v>
      </c>
      <c r="D22" s="16"/>
    </row>
    <row r="23" customFormat="false" ht="15" hidden="false" customHeight="false" outlineLevel="0" collapsed="false">
      <c r="B23" s="7" t="s">
        <v>65</v>
      </c>
      <c r="C23" s="9" t="s">
        <v>66</v>
      </c>
      <c r="D23" s="17"/>
    </row>
    <row r="24" customFormat="false" ht="15" hidden="false" customHeight="false" outlineLevel="0" collapsed="false">
      <c r="B24" s="7" t="s">
        <v>67</v>
      </c>
      <c r="C24" s="9" t="s">
        <v>68</v>
      </c>
      <c r="D24" s="18"/>
    </row>
    <row r="25" customFormat="false" ht="15" hidden="false" customHeight="false" outlineLevel="0" collapsed="false">
      <c r="B25" s="7" t="s">
        <v>69</v>
      </c>
      <c r="C25" s="9" t="s">
        <v>70</v>
      </c>
      <c r="D25" s="18"/>
    </row>
    <row r="26" customFormat="false" ht="15" hidden="false" customHeight="false" outlineLevel="0" collapsed="false">
      <c r="B26" s="7" t="s">
        <v>71</v>
      </c>
      <c r="C26" s="9" t="s">
        <v>72</v>
      </c>
      <c r="D26" s="16"/>
    </row>
    <row r="27" customFormat="false" ht="15" hidden="false" customHeight="false" outlineLevel="0" collapsed="false">
      <c r="B27" s="7" t="s">
        <v>73</v>
      </c>
      <c r="C27" s="9" t="s">
        <v>74</v>
      </c>
      <c r="D27" s="16"/>
    </row>
    <row r="28" customFormat="false" ht="15" hidden="false" customHeight="false" outlineLevel="0" collapsed="false">
      <c r="B28" s="7" t="s">
        <v>75</v>
      </c>
      <c r="C28" s="9" t="s">
        <v>76</v>
      </c>
      <c r="D28" s="16"/>
    </row>
    <row r="29" customFormat="false" ht="15" hidden="false" customHeight="false" outlineLevel="0" collapsed="false">
      <c r="B29" s="7" t="s">
        <v>77</v>
      </c>
      <c r="C29" s="9" t="s">
        <v>78</v>
      </c>
      <c r="D29" s="16"/>
    </row>
    <row r="30" customFormat="false" ht="15" hidden="false" customHeight="false" outlineLevel="0" collapsed="false">
      <c r="B30" s="7" t="s">
        <v>79</v>
      </c>
      <c r="C30" s="9" t="s">
        <v>80</v>
      </c>
      <c r="D30" s="18"/>
    </row>
    <row r="31" customFormat="false" ht="15" hidden="false" customHeight="false" outlineLevel="0" collapsed="false">
      <c r="B31" s="7" t="s">
        <v>81</v>
      </c>
      <c r="C31" s="9" t="s">
        <v>82</v>
      </c>
      <c r="D31" s="18"/>
    </row>
    <row r="32" customFormat="false" ht="15" hidden="false" customHeight="false" outlineLevel="0" collapsed="false">
      <c r="B32" s="19" t="s">
        <v>83</v>
      </c>
    </row>
    <row r="34" customFormat="false" ht="15" hidden="false" customHeight="false" outlineLevel="0" collapsed="false">
      <c r="B34" s="3" t="s">
        <v>84</v>
      </c>
      <c r="C34" s="4"/>
      <c r="D34" s="4"/>
      <c r="E34" s="4"/>
    </row>
    <row r="35" customFormat="false" ht="15" hidden="false" customHeight="false" outlineLevel="0" collapsed="false">
      <c r="B35" s="6" t="s">
        <v>85</v>
      </c>
      <c r="C35" s="6" t="s">
        <v>32</v>
      </c>
      <c r="D35" s="6" t="s">
        <v>86</v>
      </c>
    </row>
    <row r="36" customFormat="false" ht="15" hidden="false" customHeight="false" outlineLevel="0" collapsed="false">
      <c r="B36" s="9" t="s">
        <v>87</v>
      </c>
      <c r="C36" s="13" t="n">
        <v>60000</v>
      </c>
      <c r="D36" s="9" t="s">
        <v>88</v>
      </c>
    </row>
    <row r="37" customFormat="false" ht="15" hidden="false" customHeight="false" outlineLevel="0" collapsed="false">
      <c r="B37" s="9" t="s">
        <v>89</v>
      </c>
      <c r="C37" s="13" t="n">
        <v>228000</v>
      </c>
      <c r="D37" s="9" t="s">
        <v>90</v>
      </c>
    </row>
    <row r="38" customFormat="false" ht="15" hidden="false" customHeight="false" outlineLevel="0" collapsed="false">
      <c r="B38" s="9" t="s">
        <v>91</v>
      </c>
      <c r="C38" s="20" t="n">
        <v>0.15</v>
      </c>
      <c r="D38" s="9" t="s">
        <v>92</v>
      </c>
    </row>
    <row r="40" customFormat="false" ht="15" hidden="false" customHeight="false" outlineLevel="0" collapsed="false">
      <c r="B40" s="3" t="s">
        <v>93</v>
      </c>
      <c r="C40" s="4"/>
      <c r="D40" s="4"/>
      <c r="E40" s="4"/>
      <c r="F40" s="4"/>
      <c r="G40" s="4"/>
    </row>
    <row r="41" customFormat="false" ht="30" hidden="false" customHeight="true" outlineLevel="0" collapsed="false">
      <c r="B41" s="8" t="s">
        <v>94</v>
      </c>
      <c r="C41" s="8"/>
      <c r="D41" s="8"/>
      <c r="E41" s="8"/>
      <c r="F41" s="18"/>
      <c r="G41" s="18"/>
    </row>
    <row r="42" customFormat="false" ht="30" hidden="false" customHeight="true" outlineLevel="0" collapsed="false">
      <c r="B42" s="8" t="s">
        <v>95</v>
      </c>
      <c r="C42" s="8"/>
      <c r="D42" s="8"/>
      <c r="E42" s="8"/>
      <c r="F42" s="21"/>
      <c r="G42" s="21"/>
    </row>
    <row r="43" customFormat="false" ht="30" hidden="false" customHeight="true" outlineLevel="0" collapsed="false">
      <c r="B43" s="8" t="s">
        <v>96</v>
      </c>
      <c r="C43" s="8"/>
      <c r="D43" s="8"/>
      <c r="E43" s="8"/>
      <c r="F43" s="11"/>
      <c r="G43" s="11"/>
    </row>
    <row r="44" customFormat="false" ht="30" hidden="false" customHeight="true" outlineLevel="0" collapsed="false">
      <c r="B44" s="8" t="s">
        <v>97</v>
      </c>
      <c r="C44" s="8"/>
      <c r="D44" s="8"/>
      <c r="E44" s="8"/>
      <c r="F44" s="18"/>
      <c r="G44" s="18"/>
    </row>
    <row r="45" customFormat="false" ht="30" hidden="false" customHeight="true" outlineLevel="0" collapsed="false">
      <c r="B45" s="8" t="s">
        <v>98</v>
      </c>
      <c r="C45" s="8"/>
      <c r="D45" s="8"/>
      <c r="E45" s="8"/>
      <c r="F45" s="18"/>
      <c r="G45" s="18"/>
    </row>
    <row r="46" customFormat="false" ht="30" hidden="false" customHeight="true" outlineLevel="0" collapsed="false">
      <c r="B46" s="8" t="s">
        <v>99</v>
      </c>
      <c r="C46" s="8"/>
      <c r="D46" s="8"/>
      <c r="E46" s="8"/>
      <c r="F46" s="18"/>
      <c r="G46" s="18"/>
    </row>
    <row r="47" customFormat="false" ht="105" hidden="false" customHeight="true" outlineLevel="0" collapsed="false">
      <c r="B47" s="8" t="s">
        <v>100</v>
      </c>
      <c r="C47" s="8"/>
      <c r="D47" s="22"/>
      <c r="E47" s="22"/>
      <c r="F47" s="22"/>
      <c r="G47" s="22"/>
    </row>
  </sheetData>
  <mergeCells count="14">
    <mergeCell ref="B41:E41"/>
    <mergeCell ref="F41:G41"/>
    <mergeCell ref="B42:E42"/>
    <mergeCell ref="F42:G42"/>
    <mergeCell ref="B43:E43"/>
    <mergeCell ref="F43:G43"/>
    <mergeCell ref="B44:E44"/>
    <mergeCell ref="F44:G44"/>
    <mergeCell ref="B45:E45"/>
    <mergeCell ref="F45:G45"/>
    <mergeCell ref="B46:E46"/>
    <mergeCell ref="F46:G46"/>
    <mergeCell ref="B47:C47"/>
    <mergeCell ref="D47:G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6"/>
    <col collapsed="false" customWidth="true" hidden="false" outlineLevel="0" max="4" min="3" style="0" width="12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10" min="9" style="0" width="9"/>
    <col collapsed="false" customWidth="true" hidden="false" outlineLevel="0" max="12" min="11" style="0" width="13"/>
    <col collapsed="false" customWidth="true" hidden="false" outlineLevel="0" max="13" min="13" style="0" width="12"/>
  </cols>
  <sheetData>
    <row r="1" customFormat="false" ht="17.35" hidden="false" customHeight="false" outlineLevel="0" collapsed="false">
      <c r="B1" s="1" t="s">
        <v>101</v>
      </c>
    </row>
    <row r="2" customFormat="false" ht="15" hidden="false" customHeight="false" outlineLevel="0" collapsed="false">
      <c r="B2" s="2" t="s">
        <v>102</v>
      </c>
    </row>
    <row r="4" customFormat="false" ht="15" hidden="false" customHeight="false" outlineLevel="0" collapsed="false">
      <c r="B4" s="7" t="s">
        <v>103</v>
      </c>
      <c r="C4" s="14" t="n">
        <v>0.41</v>
      </c>
    </row>
    <row r="5" customFormat="false" ht="15" hidden="false" customHeight="false" outlineLevel="0" collapsed="false">
      <c r="B5" s="7" t="s">
        <v>104</v>
      </c>
      <c r="C5" s="23" t="n">
        <f aca="false">1/C4</f>
        <v>2.4390243902439</v>
      </c>
    </row>
    <row r="7" customFormat="false" ht="45" hidden="false" customHeight="true" outlineLevel="0" collapsed="false">
      <c r="B7" s="6" t="s">
        <v>105</v>
      </c>
      <c r="C7" s="6" t="s">
        <v>106</v>
      </c>
      <c r="D7" s="6" t="s">
        <v>107</v>
      </c>
      <c r="E7" s="6" t="s">
        <v>108</v>
      </c>
      <c r="F7" s="6" t="s">
        <v>109</v>
      </c>
      <c r="G7" s="6" t="s">
        <v>110</v>
      </c>
      <c r="H7" s="6" t="s">
        <v>111</v>
      </c>
      <c r="I7" s="6" t="s">
        <v>112</v>
      </c>
      <c r="J7" s="6" t="s">
        <v>113</v>
      </c>
      <c r="K7" s="6" t="s">
        <v>114</v>
      </c>
      <c r="L7" s="6" t="s">
        <v>115</v>
      </c>
      <c r="M7" s="6" t="s">
        <v>116</v>
      </c>
    </row>
    <row r="8" customFormat="false" ht="15" hidden="false" customHeight="false" outlineLevel="0" collapsed="false">
      <c r="B8" s="7" t="s">
        <v>117</v>
      </c>
      <c r="C8" s="13" t="n">
        <v>110000</v>
      </c>
      <c r="D8" s="13" t="n">
        <v>98</v>
      </c>
      <c r="E8" s="13" t="n">
        <v>470400</v>
      </c>
      <c r="F8" s="13" t="n">
        <v>70</v>
      </c>
      <c r="G8" s="20" t="n">
        <v>0.85</v>
      </c>
      <c r="H8" s="16" t="n">
        <f aca="false">C8/D8</f>
        <v>1122.44897959184</v>
      </c>
      <c r="I8" s="18" t="n">
        <f aca="false">E8/C8</f>
        <v>4.27636363636364</v>
      </c>
      <c r="J8" s="18" t="n">
        <f aca="false">E8*$C$4/C8</f>
        <v>1.75330909090909</v>
      </c>
      <c r="K8" s="16" t="n">
        <f aca="false">E8*$C$4-C8</f>
        <v>82864</v>
      </c>
      <c r="L8" s="16" t="n">
        <f aca="false">C8/F8</f>
        <v>1571.42857142857</v>
      </c>
      <c r="M8" s="18" t="n">
        <f aca="false">E8*G8/C8</f>
        <v>3.63490909090909</v>
      </c>
    </row>
    <row r="9" customFormat="false" ht="15" hidden="false" customHeight="false" outlineLevel="0" collapsed="false">
      <c r="B9" s="7" t="s">
        <v>118</v>
      </c>
      <c r="C9" s="13" t="n">
        <v>18000</v>
      </c>
      <c r="D9" s="13" t="n">
        <v>62</v>
      </c>
      <c r="E9" s="13" t="n">
        <v>266600</v>
      </c>
      <c r="F9" s="13" t="n">
        <v>12</v>
      </c>
      <c r="G9" s="20" t="n">
        <v>0.2</v>
      </c>
      <c r="H9" s="16"/>
      <c r="I9" s="18"/>
      <c r="J9" s="18"/>
      <c r="K9" s="16"/>
      <c r="L9" s="16"/>
      <c r="M9" s="18"/>
    </row>
    <row r="10" customFormat="false" ht="15" hidden="false" customHeight="false" outlineLevel="0" collapsed="false">
      <c r="B10" s="7" t="s">
        <v>119</v>
      </c>
      <c r="C10" s="13" t="n">
        <v>95000</v>
      </c>
      <c r="D10" s="13" t="n">
        <v>92</v>
      </c>
      <c r="E10" s="13" t="n">
        <v>404800</v>
      </c>
      <c r="F10" s="13" t="n">
        <v>55</v>
      </c>
      <c r="G10" s="20" t="n">
        <v>0.6</v>
      </c>
      <c r="H10" s="16"/>
      <c r="I10" s="18"/>
      <c r="J10" s="18"/>
      <c r="K10" s="16"/>
      <c r="L10" s="16"/>
      <c r="M10" s="18"/>
    </row>
    <row r="11" customFormat="false" ht="15" hidden="false" customHeight="false" outlineLevel="0" collapsed="false">
      <c r="B11" s="7" t="s">
        <v>120</v>
      </c>
      <c r="C11" s="13" t="n">
        <v>120000</v>
      </c>
      <c r="D11" s="13" t="n">
        <v>104</v>
      </c>
      <c r="E11" s="13" t="n">
        <v>405600</v>
      </c>
      <c r="F11" s="13" t="n">
        <v>88</v>
      </c>
      <c r="G11" s="20" t="n">
        <v>0.9</v>
      </c>
      <c r="H11" s="16"/>
      <c r="I11" s="18"/>
      <c r="J11" s="18"/>
      <c r="K11" s="16"/>
      <c r="L11" s="16"/>
      <c r="M11" s="18"/>
    </row>
    <row r="12" customFormat="false" ht="15" hidden="false" customHeight="false" outlineLevel="0" collapsed="false">
      <c r="B12" s="7" t="s">
        <v>121</v>
      </c>
      <c r="C12" s="13" t="n">
        <v>40000</v>
      </c>
      <c r="D12" s="13" t="n">
        <v>70</v>
      </c>
      <c r="E12" s="13" t="n">
        <v>266000</v>
      </c>
      <c r="F12" s="13" t="n">
        <v>15</v>
      </c>
      <c r="G12" s="20" t="n">
        <v>0.25</v>
      </c>
      <c r="H12" s="16"/>
      <c r="I12" s="18"/>
      <c r="J12" s="18"/>
      <c r="K12" s="16"/>
      <c r="L12" s="16"/>
      <c r="M12" s="18"/>
    </row>
    <row r="13" customFormat="false" ht="15" hidden="false" customHeight="false" outlineLevel="0" collapsed="false">
      <c r="B13" s="7" t="s">
        <v>122</v>
      </c>
      <c r="C13" s="13" t="n">
        <v>22000</v>
      </c>
      <c r="D13" s="13" t="n">
        <v>58</v>
      </c>
      <c r="E13" s="13" t="n">
        <v>226200</v>
      </c>
      <c r="F13" s="13" t="n">
        <v>2</v>
      </c>
      <c r="G13" s="20" t="n">
        <v>0.5</v>
      </c>
      <c r="H13" s="16"/>
      <c r="I13" s="18"/>
      <c r="J13" s="18"/>
      <c r="K13" s="16"/>
      <c r="L13" s="16"/>
      <c r="M13" s="18"/>
    </row>
    <row r="14" customFormat="false" ht="15" hidden="false" customHeight="false" outlineLevel="0" collapsed="false">
      <c r="B14" s="7" t="s">
        <v>123</v>
      </c>
      <c r="C14" s="24" t="n">
        <f aca="false">SUM(C8:C13)</f>
        <v>405000</v>
      </c>
      <c r="D14" s="24" t="n">
        <f aca="false">SUM(D8:D13)</f>
        <v>484</v>
      </c>
      <c r="E14" s="24" t="n">
        <f aca="false">SUM(E8:E13)</f>
        <v>2039600</v>
      </c>
      <c r="F14" s="24" t="n">
        <f aca="false">SUM(F8:F13)</f>
        <v>242</v>
      </c>
      <c r="G14" s="9"/>
      <c r="H14" s="16"/>
      <c r="I14" s="18"/>
      <c r="J14" s="18"/>
      <c r="K14" s="16"/>
      <c r="L14" s="9"/>
      <c r="M14" s="9"/>
    </row>
    <row r="15" customFormat="false" ht="15" hidden="false" customHeight="false" outlineLevel="0" collapsed="false">
      <c r="B15" s="19" t="s">
        <v>124</v>
      </c>
    </row>
    <row r="17" customFormat="false" ht="15" hidden="false" customHeight="false" outlineLevel="0" collapsed="false">
      <c r="B17" s="3" t="s">
        <v>125</v>
      </c>
      <c r="C17" s="4"/>
      <c r="D17" s="4"/>
      <c r="E17" s="4"/>
      <c r="F17" s="4"/>
      <c r="G17" s="4"/>
    </row>
    <row r="18" customFormat="false" ht="15" hidden="false" customHeight="false" outlineLevel="0" collapsed="false">
      <c r="B18" s="6" t="s">
        <v>85</v>
      </c>
      <c r="C18" s="6" t="s">
        <v>32</v>
      </c>
      <c r="D18" s="6" t="s">
        <v>126</v>
      </c>
    </row>
    <row r="19" customFormat="false" ht="15" hidden="false" customHeight="false" outlineLevel="0" collapsed="false">
      <c r="B19" s="7" t="s">
        <v>127</v>
      </c>
      <c r="C19" s="13" t="n">
        <v>1620000</v>
      </c>
      <c r="D19" s="9" t="s">
        <v>128</v>
      </c>
    </row>
    <row r="20" customFormat="false" ht="15" hidden="false" customHeight="false" outlineLevel="0" collapsed="false">
      <c r="B20" s="7" t="s">
        <v>129</v>
      </c>
      <c r="C20" s="13" t="n">
        <v>270</v>
      </c>
      <c r="D20" s="9" t="s">
        <v>128</v>
      </c>
    </row>
    <row r="21" customFormat="false" ht="15" hidden="false" customHeight="false" outlineLevel="0" collapsed="false">
      <c r="B21" s="7" t="s">
        <v>130</v>
      </c>
      <c r="C21" s="18"/>
      <c r="D21" s="9" t="s">
        <v>131</v>
      </c>
    </row>
    <row r="22" customFormat="false" ht="15" hidden="false" customHeight="false" outlineLevel="0" collapsed="false">
      <c r="B22" s="7" t="s">
        <v>132</v>
      </c>
      <c r="C22" s="18"/>
      <c r="D22" s="9" t="s">
        <v>133</v>
      </c>
    </row>
    <row r="23" customFormat="false" ht="15" hidden="false" customHeight="false" outlineLevel="0" collapsed="false">
      <c r="B23" s="7" t="s">
        <v>134</v>
      </c>
      <c r="C23" s="16"/>
      <c r="D23" s="9" t="s">
        <v>135</v>
      </c>
    </row>
    <row r="24" customFormat="false" ht="15" hidden="false" customHeight="false" outlineLevel="0" collapsed="false">
      <c r="B24" s="7" t="s">
        <v>136</v>
      </c>
      <c r="C24" s="16"/>
      <c r="D24" s="9" t="s">
        <v>137</v>
      </c>
    </row>
    <row r="26" customFormat="false" ht="15" hidden="false" customHeight="false" outlineLevel="0" collapsed="false">
      <c r="B26" s="3" t="s">
        <v>93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 customFormat="false" ht="30" hidden="false" customHeight="true" outlineLevel="0" collapsed="false">
      <c r="B27" s="8" t="s">
        <v>138</v>
      </c>
      <c r="C27" s="8"/>
      <c r="D27" s="8"/>
      <c r="E27" s="8"/>
      <c r="F27" s="11"/>
      <c r="G27" s="11"/>
      <c r="H27" s="11"/>
      <c r="I27" s="11"/>
    </row>
    <row r="28" customFormat="false" ht="30" hidden="false" customHeight="true" outlineLevel="0" collapsed="false">
      <c r="B28" s="8" t="s">
        <v>139</v>
      </c>
      <c r="C28" s="8"/>
      <c r="D28" s="8"/>
      <c r="E28" s="8"/>
      <c r="F28" s="11"/>
      <c r="G28" s="11"/>
      <c r="H28" s="11"/>
      <c r="I28" s="11"/>
    </row>
    <row r="29" customFormat="false" ht="30" hidden="false" customHeight="true" outlineLevel="0" collapsed="false">
      <c r="B29" s="8" t="s">
        <v>140</v>
      </c>
      <c r="C29" s="8"/>
      <c r="D29" s="8"/>
      <c r="E29" s="8"/>
      <c r="F29" s="11"/>
      <c r="G29" s="11"/>
      <c r="H29" s="11"/>
      <c r="I29" s="11"/>
    </row>
    <row r="30" customFormat="false" ht="30" hidden="false" customHeight="true" outlineLevel="0" collapsed="false">
      <c r="B30" s="8" t="s">
        <v>141</v>
      </c>
      <c r="C30" s="8"/>
      <c r="D30" s="8"/>
      <c r="E30" s="8"/>
      <c r="F30" s="25"/>
      <c r="G30" s="25"/>
      <c r="H30" s="25"/>
      <c r="I30" s="25"/>
    </row>
    <row r="31" customFormat="false" ht="30" hidden="false" customHeight="true" outlineLevel="0" collapsed="false">
      <c r="B31" s="8" t="s">
        <v>142</v>
      </c>
      <c r="C31" s="8"/>
      <c r="D31" s="8"/>
      <c r="E31" s="8"/>
      <c r="F31" s="11"/>
      <c r="G31" s="11"/>
      <c r="H31" s="11"/>
      <c r="I31" s="11"/>
    </row>
    <row r="32" customFormat="false" ht="129.75" hidden="false" customHeight="true" outlineLevel="0" collapsed="false">
      <c r="B32" s="8" t="s">
        <v>143</v>
      </c>
      <c r="C32" s="8"/>
      <c r="D32" s="8"/>
      <c r="E32" s="8"/>
      <c r="F32" s="8"/>
      <c r="G32" s="22"/>
      <c r="H32" s="22"/>
      <c r="I32" s="22"/>
      <c r="J32" s="22"/>
      <c r="K32" s="22"/>
      <c r="L32" s="22"/>
      <c r="M32" s="22"/>
    </row>
  </sheetData>
  <mergeCells count="12">
    <mergeCell ref="B27:E27"/>
    <mergeCell ref="F27:I27"/>
    <mergeCell ref="B28:E28"/>
    <mergeCell ref="F28:I28"/>
    <mergeCell ref="B29:E29"/>
    <mergeCell ref="F29:I29"/>
    <mergeCell ref="B30:E30"/>
    <mergeCell ref="F30:I30"/>
    <mergeCell ref="B31:E31"/>
    <mergeCell ref="F31:I31"/>
    <mergeCell ref="B32:F32"/>
    <mergeCell ref="G32:M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13"/>
    <col collapsed="false" customWidth="true" hidden="false" outlineLevel="0" max="4" min="4" style="0" width="16"/>
    <col collapsed="false" customWidth="true" hidden="false" outlineLevel="0" max="5" min="5" style="0" width="15"/>
    <col collapsed="false" customWidth="true" hidden="false" outlineLevel="0" max="6" min="6" style="0" width="13"/>
    <col collapsed="false" customWidth="true" hidden="false" outlineLevel="0" max="7" min="7" style="0" width="15"/>
    <col collapsed="false" customWidth="true" hidden="false" outlineLevel="0" max="10" min="8" style="0" width="13"/>
    <col collapsed="false" customWidth="true" hidden="false" outlineLevel="0" max="11" min="11" style="0" width="10"/>
  </cols>
  <sheetData>
    <row r="1" customFormat="false" ht="17.35" hidden="false" customHeight="false" outlineLevel="0" collapsed="false">
      <c r="B1" s="1" t="s">
        <v>144</v>
      </c>
    </row>
    <row r="2" customFormat="false" ht="15" hidden="false" customHeight="false" outlineLevel="0" collapsed="false">
      <c r="B2" s="2" t="s">
        <v>145</v>
      </c>
    </row>
    <row r="4" customFormat="false" ht="15" hidden="false" customHeight="false" outlineLevel="0" collapsed="false">
      <c r="B4" s="7" t="s">
        <v>146</v>
      </c>
      <c r="C4" s="13" t="n">
        <v>300000</v>
      </c>
    </row>
    <row r="5" customFormat="false" ht="15" hidden="false" customHeight="false" outlineLevel="0" collapsed="false">
      <c r="B5" s="7" t="s">
        <v>147</v>
      </c>
      <c r="C5" s="13" t="n">
        <v>25000</v>
      </c>
    </row>
    <row r="6" customFormat="false" ht="15" hidden="false" customHeight="false" outlineLevel="0" collapsed="false">
      <c r="B6" s="7" t="s">
        <v>67</v>
      </c>
      <c r="C6" s="23" t="n">
        <f aca="false">1/C7</f>
        <v>2.4390243902439</v>
      </c>
    </row>
    <row r="7" customFormat="false" ht="15" hidden="false" customHeight="false" outlineLevel="0" collapsed="false">
      <c r="B7" s="7" t="s">
        <v>148</v>
      </c>
      <c r="C7" s="14" t="n">
        <v>0.41</v>
      </c>
    </row>
    <row r="9" customFormat="false" ht="45" hidden="false" customHeight="true" outlineLevel="0" collapsed="false">
      <c r="B9" s="6" t="s">
        <v>105</v>
      </c>
      <c r="C9" s="6" t="s">
        <v>149</v>
      </c>
      <c r="D9" s="6" t="s">
        <v>150</v>
      </c>
      <c r="E9" s="6" t="s">
        <v>151</v>
      </c>
      <c r="F9" s="6" t="s">
        <v>152</v>
      </c>
      <c r="G9" s="6" t="s">
        <v>153</v>
      </c>
      <c r="H9" s="6" t="s">
        <v>154</v>
      </c>
      <c r="I9" s="6" t="s">
        <v>155</v>
      </c>
      <c r="J9" s="6" t="s">
        <v>156</v>
      </c>
      <c r="K9" s="6" t="s">
        <v>157</v>
      </c>
    </row>
    <row r="10" customFormat="false" ht="15" hidden="false" customHeight="false" outlineLevel="0" collapsed="false">
      <c r="B10" s="7" t="s">
        <v>117</v>
      </c>
      <c r="C10" s="9" t="n">
        <v>1</v>
      </c>
      <c r="D10" s="9" t="s">
        <v>158</v>
      </c>
      <c r="E10" s="13" t="n">
        <v>25000</v>
      </c>
      <c r="F10" s="13" t="n">
        <v>25000</v>
      </c>
      <c r="G10" s="13" t="n">
        <v>125000</v>
      </c>
      <c r="H10" s="18" t="n">
        <f aca="false">G10/F10</f>
        <v>5</v>
      </c>
      <c r="I10" s="11" t="str">
        <f aca="false">IF(H10&gt;=$C$6,"Yes","No")</f>
        <v>Yes</v>
      </c>
      <c r="J10" s="25" t="n">
        <f aca="false">RANK(H10,$H$10:$H$25,0)</f>
        <v>1</v>
      </c>
      <c r="K10" s="11" t="str">
        <f aca="false">IF(AND(I10="Yes",J10&lt;=$C$4/$C$5),"Yes","No")</f>
        <v>Yes</v>
      </c>
    </row>
    <row r="11" customFormat="false" ht="15" hidden="false" customHeight="false" outlineLevel="0" collapsed="false">
      <c r="B11" s="9" t="s">
        <v>117</v>
      </c>
      <c r="C11" s="9" t="n">
        <v>2</v>
      </c>
      <c r="D11" s="9" t="s">
        <v>159</v>
      </c>
      <c r="E11" s="13" t="n">
        <v>50000</v>
      </c>
      <c r="F11" s="13" t="n">
        <v>25000</v>
      </c>
      <c r="G11" s="13" t="n">
        <v>100000</v>
      </c>
      <c r="H11" s="18"/>
      <c r="I11" s="11"/>
      <c r="J11" s="25"/>
      <c r="K11" s="11"/>
    </row>
    <row r="12" customFormat="false" ht="15" hidden="false" customHeight="false" outlineLevel="0" collapsed="false">
      <c r="B12" s="9" t="s">
        <v>117</v>
      </c>
      <c r="C12" s="9" t="n">
        <v>3</v>
      </c>
      <c r="D12" s="9" t="s">
        <v>160</v>
      </c>
      <c r="E12" s="13" t="n">
        <v>75000</v>
      </c>
      <c r="F12" s="13" t="n">
        <v>25000</v>
      </c>
      <c r="G12" s="13" t="n">
        <v>75000</v>
      </c>
      <c r="H12" s="18"/>
      <c r="I12" s="11"/>
      <c r="J12" s="25"/>
      <c r="K12" s="11"/>
    </row>
    <row r="13" customFormat="false" ht="15" hidden="false" customHeight="false" outlineLevel="0" collapsed="false">
      <c r="B13" s="9" t="s">
        <v>117</v>
      </c>
      <c r="C13" s="9" t="n">
        <v>4</v>
      </c>
      <c r="D13" s="9" t="s">
        <v>161</v>
      </c>
      <c r="E13" s="13" t="n">
        <v>100000</v>
      </c>
      <c r="F13" s="13" t="n">
        <v>25000</v>
      </c>
      <c r="G13" s="13" t="n">
        <v>52500</v>
      </c>
      <c r="H13" s="18"/>
      <c r="I13" s="11"/>
      <c r="J13" s="25"/>
      <c r="K13" s="11"/>
    </row>
    <row r="14" customFormat="false" ht="15" hidden="false" customHeight="false" outlineLevel="0" collapsed="false">
      <c r="B14" s="7" t="s">
        <v>119</v>
      </c>
      <c r="C14" s="9" t="n">
        <v>1</v>
      </c>
      <c r="D14" s="9" t="s">
        <v>158</v>
      </c>
      <c r="E14" s="13" t="n">
        <v>25000</v>
      </c>
      <c r="F14" s="13" t="n">
        <v>25000</v>
      </c>
      <c r="G14" s="13" t="n">
        <v>112500</v>
      </c>
      <c r="H14" s="18"/>
      <c r="I14" s="11"/>
      <c r="J14" s="25"/>
      <c r="K14" s="11"/>
    </row>
    <row r="15" customFormat="false" ht="15" hidden="false" customHeight="false" outlineLevel="0" collapsed="false">
      <c r="B15" s="9" t="s">
        <v>119</v>
      </c>
      <c r="C15" s="9" t="n">
        <v>2</v>
      </c>
      <c r="D15" s="9" t="s">
        <v>159</v>
      </c>
      <c r="E15" s="13" t="n">
        <v>50000</v>
      </c>
      <c r="F15" s="13" t="n">
        <v>25000</v>
      </c>
      <c r="G15" s="13" t="n">
        <v>87500</v>
      </c>
      <c r="H15" s="18"/>
      <c r="I15" s="11"/>
      <c r="J15" s="25"/>
      <c r="K15" s="11"/>
    </row>
    <row r="16" customFormat="false" ht="15" hidden="false" customHeight="false" outlineLevel="0" collapsed="false">
      <c r="B16" s="9" t="s">
        <v>119</v>
      </c>
      <c r="C16" s="9" t="n">
        <v>3</v>
      </c>
      <c r="D16" s="9" t="s">
        <v>160</v>
      </c>
      <c r="E16" s="13" t="n">
        <v>75000</v>
      </c>
      <c r="F16" s="13" t="n">
        <v>25000</v>
      </c>
      <c r="G16" s="13" t="n">
        <v>67500</v>
      </c>
      <c r="H16" s="18"/>
      <c r="I16" s="11"/>
      <c r="J16" s="25"/>
      <c r="K16" s="11"/>
    </row>
    <row r="17" customFormat="false" ht="15" hidden="false" customHeight="false" outlineLevel="0" collapsed="false">
      <c r="B17" s="9" t="s">
        <v>119</v>
      </c>
      <c r="C17" s="9" t="n">
        <v>4</v>
      </c>
      <c r="D17" s="9" t="s">
        <v>161</v>
      </c>
      <c r="E17" s="13" t="n">
        <v>100000</v>
      </c>
      <c r="F17" s="13" t="n">
        <v>25000</v>
      </c>
      <c r="G17" s="13" t="n">
        <v>50000</v>
      </c>
      <c r="H17" s="18"/>
      <c r="I17" s="11"/>
      <c r="J17" s="25"/>
      <c r="K17" s="11"/>
    </row>
    <row r="18" customFormat="false" ht="15" hidden="false" customHeight="false" outlineLevel="0" collapsed="false">
      <c r="B18" s="7" t="s">
        <v>162</v>
      </c>
      <c r="C18" s="9" t="n">
        <v>1</v>
      </c>
      <c r="D18" s="9" t="s">
        <v>158</v>
      </c>
      <c r="E18" s="13" t="n">
        <v>25000</v>
      </c>
      <c r="F18" s="13" t="n">
        <v>25000</v>
      </c>
      <c r="G18" s="13" t="n">
        <v>105000</v>
      </c>
      <c r="H18" s="18"/>
      <c r="I18" s="11"/>
      <c r="J18" s="25"/>
      <c r="K18" s="11"/>
    </row>
    <row r="19" customFormat="false" ht="15" hidden="false" customHeight="false" outlineLevel="0" collapsed="false">
      <c r="B19" s="9" t="s">
        <v>162</v>
      </c>
      <c r="C19" s="9" t="n">
        <v>2</v>
      </c>
      <c r="D19" s="9" t="s">
        <v>159</v>
      </c>
      <c r="E19" s="13" t="n">
        <v>50000</v>
      </c>
      <c r="F19" s="13" t="n">
        <v>25000</v>
      </c>
      <c r="G19" s="13" t="n">
        <v>92500</v>
      </c>
      <c r="H19" s="18"/>
      <c r="I19" s="11"/>
      <c r="J19" s="25"/>
      <c r="K19" s="11"/>
    </row>
    <row r="20" customFormat="false" ht="15" hidden="false" customHeight="false" outlineLevel="0" collapsed="false">
      <c r="B20" s="9" t="s">
        <v>162</v>
      </c>
      <c r="C20" s="9" t="n">
        <v>3</v>
      </c>
      <c r="D20" s="9" t="s">
        <v>160</v>
      </c>
      <c r="E20" s="13" t="n">
        <v>75000</v>
      </c>
      <c r="F20" s="13" t="n">
        <v>25000</v>
      </c>
      <c r="G20" s="13" t="n">
        <v>80000</v>
      </c>
      <c r="H20" s="18"/>
      <c r="I20" s="11"/>
      <c r="J20" s="25"/>
      <c r="K20" s="11"/>
    </row>
    <row r="21" customFormat="false" ht="15" hidden="false" customHeight="false" outlineLevel="0" collapsed="false">
      <c r="B21" s="9" t="s">
        <v>162</v>
      </c>
      <c r="C21" s="9" t="n">
        <v>4</v>
      </c>
      <c r="D21" s="9" t="s">
        <v>161</v>
      </c>
      <c r="E21" s="13" t="n">
        <v>100000</v>
      </c>
      <c r="F21" s="13" t="n">
        <v>25000</v>
      </c>
      <c r="G21" s="13" t="n">
        <v>57500</v>
      </c>
      <c r="H21" s="18"/>
      <c r="I21" s="11"/>
      <c r="J21" s="25"/>
      <c r="K21" s="11"/>
    </row>
    <row r="22" customFormat="false" ht="15" hidden="false" customHeight="false" outlineLevel="0" collapsed="false">
      <c r="B22" s="7" t="s">
        <v>121</v>
      </c>
      <c r="C22" s="9" t="n">
        <v>1</v>
      </c>
      <c r="D22" s="9" t="s">
        <v>158</v>
      </c>
      <c r="E22" s="13" t="n">
        <v>25000</v>
      </c>
      <c r="F22" s="13" t="n">
        <v>25000</v>
      </c>
      <c r="G22" s="13" t="n">
        <v>150000</v>
      </c>
      <c r="H22" s="18"/>
      <c r="I22" s="11"/>
      <c r="J22" s="25"/>
      <c r="K22" s="11"/>
    </row>
    <row r="23" customFormat="false" ht="15" hidden="false" customHeight="false" outlineLevel="0" collapsed="false">
      <c r="B23" s="9" t="s">
        <v>121</v>
      </c>
      <c r="C23" s="9" t="n">
        <v>2</v>
      </c>
      <c r="D23" s="9" t="s">
        <v>159</v>
      </c>
      <c r="E23" s="13" t="n">
        <v>50000</v>
      </c>
      <c r="F23" s="13" t="n">
        <v>25000</v>
      </c>
      <c r="G23" s="13" t="n">
        <v>70000</v>
      </c>
      <c r="H23" s="18"/>
      <c r="I23" s="11"/>
      <c r="J23" s="25"/>
      <c r="K23" s="11"/>
    </row>
    <row r="24" customFormat="false" ht="15" hidden="false" customHeight="false" outlineLevel="0" collapsed="false">
      <c r="B24" s="9" t="s">
        <v>121</v>
      </c>
      <c r="C24" s="9" t="n">
        <v>3</v>
      </c>
      <c r="D24" s="9" t="s">
        <v>160</v>
      </c>
      <c r="E24" s="13" t="n">
        <v>75000</v>
      </c>
      <c r="F24" s="13" t="n">
        <v>25000</v>
      </c>
      <c r="G24" s="13" t="n">
        <v>45000</v>
      </c>
      <c r="H24" s="18"/>
      <c r="I24" s="11"/>
      <c r="J24" s="25"/>
      <c r="K24" s="11"/>
    </row>
    <row r="25" customFormat="false" ht="15" hidden="false" customHeight="false" outlineLevel="0" collapsed="false">
      <c r="B25" s="9" t="s">
        <v>121</v>
      </c>
      <c r="C25" s="9" t="n">
        <v>4</v>
      </c>
      <c r="D25" s="9" t="s">
        <v>161</v>
      </c>
      <c r="E25" s="13" t="n">
        <v>100000</v>
      </c>
      <c r="F25" s="13" t="n">
        <v>25000</v>
      </c>
      <c r="G25" s="13" t="n">
        <v>25000</v>
      </c>
      <c r="H25" s="18"/>
      <c r="I25" s="11"/>
      <c r="J25" s="25"/>
      <c r="K25" s="11"/>
    </row>
    <row r="26" customFormat="false" ht="15" hidden="false" customHeight="false" outlineLevel="0" collapsed="false">
      <c r="B26" s="19" t="s">
        <v>163</v>
      </c>
    </row>
    <row r="28" customFormat="false" ht="15" hidden="false" customHeight="false" outlineLevel="0" collapsed="false">
      <c r="B28" s="3" t="s">
        <v>164</v>
      </c>
      <c r="C28" s="4"/>
      <c r="D28" s="4"/>
      <c r="E28" s="4"/>
      <c r="F28" s="4"/>
      <c r="G28" s="4"/>
      <c r="H28" s="4"/>
      <c r="I28" s="4"/>
      <c r="J28" s="4"/>
      <c r="K28" s="4"/>
    </row>
    <row r="29" customFormat="false" ht="45" hidden="false" customHeight="true" outlineLevel="0" collapsed="false">
      <c r="B29" s="6" t="s">
        <v>105</v>
      </c>
      <c r="C29" s="6" t="s">
        <v>165</v>
      </c>
      <c r="D29" s="6" t="s">
        <v>166</v>
      </c>
      <c r="E29" s="6" t="s">
        <v>167</v>
      </c>
      <c r="F29" s="6" t="s">
        <v>168</v>
      </c>
      <c r="G29" s="6" t="s">
        <v>169</v>
      </c>
      <c r="H29" s="6" t="s">
        <v>170</v>
      </c>
      <c r="I29" s="6" t="s">
        <v>171</v>
      </c>
      <c r="J29" s="6" t="s">
        <v>172</v>
      </c>
    </row>
    <row r="30" customFormat="false" ht="15" hidden="false" customHeight="false" outlineLevel="0" collapsed="false">
      <c r="B30" s="7" t="s">
        <v>117</v>
      </c>
      <c r="C30" s="13" t="n">
        <v>75000</v>
      </c>
      <c r="D30" s="16" t="n">
        <f aca="false">SUMIFS($G$10:$G$25,$B$10:$B$25,B30,$E$10:$E$25,"&lt;="&amp;C30)</f>
        <v>300000</v>
      </c>
      <c r="E30" s="18" t="n">
        <f aca="false">D30/C30</f>
        <v>4</v>
      </c>
      <c r="F30" s="18" t="n">
        <f aca="false">SUMIFS($H$10:$H$25,$B$10:$B$25,B30,$E$10:$E$25,C30)</f>
        <v>0</v>
      </c>
      <c r="G30" s="16" t="n">
        <f aca="false">SUMIFS($F$10:$F$25,$B$10:$B$25,B30,$K$10:$K$25,"Yes")</f>
        <v>25000</v>
      </c>
      <c r="H30" s="16" t="n">
        <f aca="false">SUMIFS($G$10:$G$25,$B$10:$B$25,B30,$K$10:$K$25,"Yes")</f>
        <v>125000</v>
      </c>
      <c r="I30" s="18" t="n">
        <f aca="false">H30/G30</f>
        <v>5</v>
      </c>
      <c r="J30" s="26" t="n">
        <f aca="false">G30-C30</f>
        <v>-50000</v>
      </c>
    </row>
    <row r="31" customFormat="false" ht="15" hidden="false" customHeight="false" outlineLevel="0" collapsed="false">
      <c r="B31" s="7" t="s">
        <v>119</v>
      </c>
      <c r="C31" s="13" t="n">
        <v>75000</v>
      </c>
      <c r="D31" s="16"/>
      <c r="E31" s="18"/>
      <c r="F31" s="18"/>
      <c r="G31" s="16"/>
      <c r="H31" s="16"/>
      <c r="I31" s="18"/>
      <c r="J31" s="26"/>
    </row>
    <row r="32" customFormat="false" ht="15" hidden="false" customHeight="false" outlineLevel="0" collapsed="false">
      <c r="B32" s="7" t="s">
        <v>162</v>
      </c>
      <c r="C32" s="13" t="n">
        <v>50000</v>
      </c>
      <c r="D32" s="16"/>
      <c r="E32" s="18"/>
      <c r="F32" s="18"/>
      <c r="G32" s="16"/>
      <c r="H32" s="16"/>
      <c r="I32" s="18"/>
      <c r="J32" s="26"/>
    </row>
    <row r="33" customFormat="false" ht="15" hidden="false" customHeight="false" outlineLevel="0" collapsed="false">
      <c r="B33" s="7" t="s">
        <v>121</v>
      </c>
      <c r="C33" s="13" t="n">
        <v>100000</v>
      </c>
      <c r="D33" s="16"/>
      <c r="E33" s="18"/>
      <c r="F33" s="18"/>
      <c r="G33" s="16"/>
      <c r="H33" s="16"/>
      <c r="I33" s="18"/>
      <c r="J33" s="26"/>
    </row>
    <row r="34" customFormat="false" ht="15" hidden="false" customHeight="false" outlineLevel="0" collapsed="false">
      <c r="B34" s="7" t="s">
        <v>24</v>
      </c>
      <c r="C34" s="24" t="n">
        <f aca="false">SUM(C30:C33)</f>
        <v>300000</v>
      </c>
      <c r="D34" s="16"/>
      <c r="E34" s="18"/>
      <c r="F34" s="9"/>
      <c r="G34" s="16"/>
      <c r="H34" s="16"/>
      <c r="I34" s="18"/>
      <c r="J34" s="26"/>
    </row>
    <row r="35" customFormat="false" ht="15" hidden="false" customHeight="false" outlineLevel="0" collapsed="false">
      <c r="B35" s="7" t="s">
        <v>114</v>
      </c>
      <c r="C35" s="9" t="s">
        <v>173</v>
      </c>
      <c r="D35" s="16"/>
      <c r="F35" s="9"/>
      <c r="G35" s="9" t="s">
        <v>174</v>
      </c>
      <c r="H35" s="16"/>
    </row>
    <row r="36" customFormat="false" ht="15" hidden="false" customHeight="false" outlineLevel="0" collapsed="false">
      <c r="B36" s="19" t="s">
        <v>175</v>
      </c>
    </row>
    <row r="38" customFormat="false" ht="15" hidden="false" customHeight="false" outlineLevel="0" collapsed="false">
      <c r="B38" s="3" t="s">
        <v>93</v>
      </c>
      <c r="C38" s="4"/>
      <c r="D38" s="4"/>
      <c r="E38" s="4"/>
      <c r="F38" s="4"/>
      <c r="G38" s="4"/>
      <c r="H38" s="4"/>
      <c r="I38" s="4"/>
      <c r="J38" s="4"/>
      <c r="K38" s="4"/>
    </row>
    <row r="39" customFormat="false" ht="30" hidden="false" customHeight="true" outlineLevel="0" collapsed="false">
      <c r="B39" s="8" t="s">
        <v>176</v>
      </c>
      <c r="C39" s="8"/>
      <c r="D39" s="8"/>
      <c r="E39" s="8"/>
      <c r="F39" s="16"/>
      <c r="G39" s="16"/>
    </row>
    <row r="40" customFormat="false" ht="30" hidden="false" customHeight="true" outlineLevel="0" collapsed="false">
      <c r="B40" s="8" t="s">
        <v>177</v>
      </c>
      <c r="C40" s="8"/>
      <c r="D40" s="8"/>
      <c r="E40" s="8"/>
      <c r="F40" s="16"/>
      <c r="G40" s="16"/>
    </row>
    <row r="41" customFormat="false" ht="30" hidden="false" customHeight="true" outlineLevel="0" collapsed="false">
      <c r="B41" s="8" t="s">
        <v>178</v>
      </c>
      <c r="C41" s="8"/>
      <c r="D41" s="8"/>
      <c r="E41" s="8"/>
      <c r="F41" s="26"/>
      <c r="G41" s="26"/>
    </row>
    <row r="42" customFormat="false" ht="30" hidden="false" customHeight="true" outlineLevel="0" collapsed="false">
      <c r="B42" s="8" t="s">
        <v>179</v>
      </c>
      <c r="C42" s="8"/>
      <c r="D42" s="8"/>
      <c r="E42" s="8"/>
      <c r="F42" s="11"/>
      <c r="G42" s="11"/>
      <c r="H42" s="11"/>
    </row>
    <row r="43" customFormat="false" ht="30" hidden="false" customHeight="true" outlineLevel="0" collapsed="false">
      <c r="B43" s="8" t="s">
        <v>180</v>
      </c>
      <c r="C43" s="8"/>
      <c r="D43" s="8"/>
      <c r="E43" s="8"/>
      <c r="F43" s="18"/>
      <c r="G43" s="18"/>
    </row>
    <row r="44" customFormat="false" ht="129.75" hidden="false" customHeight="true" outlineLevel="0" collapsed="false">
      <c r="B44" s="8" t="s">
        <v>181</v>
      </c>
      <c r="C44" s="8"/>
      <c r="D44" s="8"/>
      <c r="E44" s="8"/>
      <c r="F44" s="22"/>
      <c r="G44" s="22"/>
      <c r="H44" s="22"/>
      <c r="I44" s="22"/>
      <c r="J44" s="22"/>
      <c r="K44" s="22"/>
    </row>
  </sheetData>
  <mergeCells count="12">
    <mergeCell ref="B39:E39"/>
    <mergeCell ref="F39:G39"/>
    <mergeCell ref="B40:E40"/>
    <mergeCell ref="F40:G40"/>
    <mergeCell ref="B41:E41"/>
    <mergeCell ref="F41:G41"/>
    <mergeCell ref="B42:E42"/>
    <mergeCell ref="F42:H42"/>
    <mergeCell ref="B43:E43"/>
    <mergeCell ref="F43:G43"/>
    <mergeCell ref="B44:E44"/>
    <mergeCell ref="F44:K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8"/>
    <col collapsed="false" customWidth="true" hidden="false" outlineLevel="0" max="3" min="3" style="0" width="13"/>
    <col collapsed="false" customWidth="true" hidden="false" outlineLevel="0" max="5" min="4" style="0" width="15"/>
    <col collapsed="false" customWidth="true" hidden="false" outlineLevel="0" max="6" min="6" style="0" width="30"/>
    <col collapsed="false" customWidth="true" hidden="false" outlineLevel="0" max="7" min="7" style="0" width="13"/>
    <col collapsed="false" customWidth="true" hidden="false" outlineLevel="0" max="9" min="8" style="0" width="14"/>
    <col collapsed="false" customWidth="true" hidden="false" outlineLevel="0" max="10" min="10" style="0" width="15"/>
  </cols>
  <sheetData>
    <row r="1" customFormat="false" ht="17.35" hidden="false" customHeight="false" outlineLevel="0" collapsed="false">
      <c r="B1" s="1" t="s">
        <v>182</v>
      </c>
    </row>
    <row r="2" customFormat="false" ht="15" hidden="false" customHeight="false" outlineLevel="0" collapsed="false">
      <c r="B2" s="2" t="s">
        <v>183</v>
      </c>
    </row>
    <row r="4" customFormat="false" ht="30" hidden="false" customHeight="true" outlineLevel="0" collapsed="false">
      <c r="B4" s="6" t="s">
        <v>184</v>
      </c>
      <c r="C4" s="6" t="s">
        <v>185</v>
      </c>
      <c r="D4" s="6" t="s">
        <v>186</v>
      </c>
      <c r="F4" s="7" t="s">
        <v>187</v>
      </c>
      <c r="G4" s="23" t="n">
        <v>3.9</v>
      </c>
    </row>
    <row r="5" customFormat="false" ht="15" hidden="false" customHeight="false" outlineLevel="0" collapsed="false">
      <c r="B5" s="7" t="s">
        <v>188</v>
      </c>
      <c r="C5" s="13" t="n">
        <v>400000</v>
      </c>
      <c r="D5" s="18" t="n">
        <f aca="false">C5/$C$18</f>
        <v>0.8</v>
      </c>
      <c r="F5" s="7" t="s">
        <v>148</v>
      </c>
      <c r="G5" s="14" t="n">
        <v>0.41</v>
      </c>
    </row>
    <row r="6" customFormat="false" ht="15" hidden="false" customHeight="false" outlineLevel="0" collapsed="false">
      <c r="B6" s="7" t="s">
        <v>189</v>
      </c>
      <c r="C6" s="13" t="n">
        <v>380000</v>
      </c>
      <c r="D6" s="18"/>
    </row>
    <row r="7" customFormat="false" ht="15" hidden="false" customHeight="false" outlineLevel="0" collapsed="false">
      <c r="B7" s="7" t="s">
        <v>190</v>
      </c>
      <c r="C7" s="13" t="n">
        <v>430000</v>
      </c>
      <c r="D7" s="18"/>
    </row>
    <row r="8" customFormat="false" ht="15" hidden="false" customHeight="false" outlineLevel="0" collapsed="false">
      <c r="B8" s="7" t="s">
        <v>191</v>
      </c>
      <c r="C8" s="13" t="n">
        <v>440000</v>
      </c>
      <c r="D8" s="18"/>
    </row>
    <row r="9" customFormat="false" ht="15" hidden="false" customHeight="false" outlineLevel="0" collapsed="false">
      <c r="B9" s="7" t="s">
        <v>192</v>
      </c>
      <c r="C9" s="13" t="n">
        <v>520000</v>
      </c>
      <c r="D9" s="18"/>
    </row>
    <row r="10" customFormat="false" ht="15" hidden="false" customHeight="false" outlineLevel="0" collapsed="false">
      <c r="B10" s="7" t="s">
        <v>193</v>
      </c>
      <c r="C10" s="13" t="n">
        <v>470000</v>
      </c>
      <c r="D10" s="18"/>
    </row>
    <row r="11" customFormat="false" ht="15" hidden="false" customHeight="false" outlineLevel="0" collapsed="false">
      <c r="B11" s="7" t="s">
        <v>194</v>
      </c>
      <c r="C11" s="13" t="n">
        <v>420000</v>
      </c>
      <c r="D11" s="18"/>
    </row>
    <row r="12" customFormat="false" ht="15" hidden="false" customHeight="false" outlineLevel="0" collapsed="false">
      <c r="B12" s="7" t="s">
        <v>195</v>
      </c>
      <c r="C12" s="13" t="n">
        <v>450000</v>
      </c>
      <c r="D12" s="18"/>
    </row>
    <row r="13" customFormat="false" ht="15" hidden="false" customHeight="false" outlineLevel="0" collapsed="false">
      <c r="B13" s="7" t="s">
        <v>196</v>
      </c>
      <c r="C13" s="13" t="n">
        <v>480000</v>
      </c>
      <c r="D13" s="18"/>
    </row>
    <row r="14" customFormat="false" ht="15" hidden="false" customHeight="false" outlineLevel="0" collapsed="false">
      <c r="B14" s="7" t="s">
        <v>197</v>
      </c>
      <c r="C14" s="13" t="n">
        <v>610000</v>
      </c>
      <c r="D14" s="18"/>
    </row>
    <row r="15" customFormat="false" ht="15" hidden="false" customHeight="false" outlineLevel="0" collapsed="false">
      <c r="B15" s="7" t="s">
        <v>198</v>
      </c>
      <c r="C15" s="13" t="n">
        <v>625000</v>
      </c>
      <c r="D15" s="18"/>
    </row>
    <row r="16" customFormat="false" ht="15" hidden="false" customHeight="false" outlineLevel="0" collapsed="false">
      <c r="B16" s="7" t="s">
        <v>199</v>
      </c>
      <c r="C16" s="13" t="n">
        <v>775000</v>
      </c>
      <c r="D16" s="18"/>
    </row>
    <row r="17" customFormat="false" ht="15" hidden="false" customHeight="false" outlineLevel="0" collapsed="false">
      <c r="B17" s="7" t="s">
        <v>24</v>
      </c>
      <c r="C17" s="24" t="n">
        <f aca="false">SUM(C5:C16)</f>
        <v>6000000</v>
      </c>
    </row>
    <row r="18" customFormat="false" ht="15" hidden="false" customHeight="false" outlineLevel="0" collapsed="false">
      <c r="B18" s="7" t="s">
        <v>200</v>
      </c>
      <c r="C18" s="16" t="n">
        <f aca="false">AVERAGE(C5:C16)</f>
        <v>500000</v>
      </c>
    </row>
    <row r="19" customFormat="false" ht="15" hidden="false" customHeight="false" outlineLevel="0" collapsed="false">
      <c r="B19" s="19" t="s">
        <v>201</v>
      </c>
    </row>
    <row r="21" customFormat="false" ht="45" hidden="false" customHeight="true" outlineLevel="0" collapsed="false">
      <c r="B21" s="6" t="s">
        <v>202</v>
      </c>
      <c r="C21" s="6" t="s">
        <v>203</v>
      </c>
      <c r="D21" s="6" t="s">
        <v>204</v>
      </c>
      <c r="E21" s="6" t="s">
        <v>205</v>
      </c>
      <c r="F21" s="6" t="s">
        <v>206</v>
      </c>
      <c r="G21" s="6" t="s">
        <v>207</v>
      </c>
      <c r="H21" s="6" t="s">
        <v>208</v>
      </c>
      <c r="I21" s="6" t="s">
        <v>209</v>
      </c>
      <c r="J21" s="6" t="s">
        <v>114</v>
      </c>
    </row>
    <row r="22" customFormat="false" ht="15" hidden="false" customHeight="false" outlineLevel="0" collapsed="false">
      <c r="B22" s="7" t="s">
        <v>210</v>
      </c>
      <c r="C22" s="9" t="s">
        <v>198</v>
      </c>
      <c r="D22" s="13" t="n">
        <v>150000</v>
      </c>
      <c r="E22" s="18" t="n">
        <f aca="false">INDEX($D$5:$D$16,MATCH(C22,$B$5:$B$16,0))</f>
        <v>0</v>
      </c>
      <c r="F22" s="23" t="n">
        <v>0.85</v>
      </c>
      <c r="G22" s="18" t="n">
        <f aca="false">$G$4*E22*F22</f>
        <v>0</v>
      </c>
      <c r="H22" s="16" t="n">
        <f aca="false">D22*G22</f>
        <v>0</v>
      </c>
      <c r="I22" s="16" t="n">
        <f aca="false">H22*$G$5</f>
        <v>0</v>
      </c>
      <c r="J22" s="16" t="n">
        <f aca="false">I22-D22</f>
        <v>-150000</v>
      </c>
    </row>
    <row r="23" customFormat="false" ht="15" hidden="false" customHeight="false" outlineLevel="0" collapsed="false">
      <c r="B23" s="7" t="s">
        <v>211</v>
      </c>
      <c r="C23" s="9" t="s">
        <v>199</v>
      </c>
      <c r="D23" s="13" t="n">
        <v>190000</v>
      </c>
      <c r="E23" s="18"/>
      <c r="F23" s="23" t="n">
        <v>0.8</v>
      </c>
      <c r="G23" s="18"/>
      <c r="H23" s="16"/>
      <c r="I23" s="16"/>
      <c r="J23" s="16"/>
    </row>
    <row r="24" customFormat="false" ht="15" hidden="false" customHeight="false" outlineLevel="0" collapsed="false">
      <c r="B24" s="7" t="s">
        <v>212</v>
      </c>
      <c r="C24" s="9" t="s">
        <v>188</v>
      </c>
      <c r="D24" s="13" t="n">
        <v>100000</v>
      </c>
      <c r="E24" s="18"/>
      <c r="F24" s="23" t="n">
        <v>1</v>
      </c>
      <c r="G24" s="18"/>
      <c r="H24" s="16"/>
      <c r="I24" s="16"/>
      <c r="J24" s="16"/>
    </row>
    <row r="25" customFormat="false" ht="15" hidden="false" customHeight="false" outlineLevel="0" collapsed="false">
      <c r="B25" s="7" t="s">
        <v>213</v>
      </c>
      <c r="C25" s="9"/>
      <c r="D25" s="24" t="n">
        <f aca="false">SUM(D22:D24)</f>
        <v>440000</v>
      </c>
      <c r="E25" s="9"/>
      <c r="F25" s="9"/>
      <c r="G25" s="18"/>
      <c r="H25" s="16"/>
      <c r="I25" s="16"/>
      <c r="J25" s="16"/>
    </row>
    <row r="26" customFormat="false" ht="15" hidden="false" customHeight="false" outlineLevel="0" collapsed="false">
      <c r="B26" s="19" t="s">
        <v>214</v>
      </c>
    </row>
    <row r="28" customFormat="false" ht="30" hidden="false" customHeight="true" outlineLevel="0" collapsed="false">
      <c r="B28" s="6" t="s">
        <v>215</v>
      </c>
      <c r="C28" s="6" t="s">
        <v>216</v>
      </c>
      <c r="D28" s="6" t="s">
        <v>208</v>
      </c>
      <c r="E28" s="6" t="s">
        <v>209</v>
      </c>
      <c r="F28" s="6" t="s">
        <v>114</v>
      </c>
    </row>
    <row r="29" customFormat="false" ht="15" hidden="false" customHeight="false" outlineLevel="0" collapsed="false">
      <c r="B29" s="7" t="s">
        <v>217</v>
      </c>
      <c r="C29" s="23" t="n">
        <v>0.8</v>
      </c>
      <c r="D29" s="16" t="n">
        <f aca="false">$H$25*C29</f>
        <v>0</v>
      </c>
      <c r="E29" s="16" t="n">
        <f aca="false">D29*$G$5</f>
        <v>0</v>
      </c>
      <c r="F29" s="16" t="n">
        <f aca="false">E29-$D$25</f>
        <v>-440000</v>
      </c>
    </row>
    <row r="30" customFormat="false" ht="15" hidden="false" customHeight="false" outlineLevel="0" collapsed="false">
      <c r="B30" s="7" t="s">
        <v>218</v>
      </c>
      <c r="C30" s="23" t="n">
        <v>1</v>
      </c>
      <c r="D30" s="16"/>
      <c r="E30" s="16"/>
      <c r="F30" s="16"/>
    </row>
    <row r="31" customFormat="false" ht="15" hidden="false" customHeight="false" outlineLevel="0" collapsed="false">
      <c r="B31" s="7" t="s">
        <v>219</v>
      </c>
      <c r="C31" s="23" t="n">
        <v>1.15</v>
      </c>
      <c r="D31" s="16"/>
      <c r="E31" s="16"/>
      <c r="F31" s="16"/>
    </row>
    <row r="32" customFormat="false" ht="15" hidden="false" customHeight="false" outlineLevel="0" collapsed="false">
      <c r="B32" s="19" t="s">
        <v>220</v>
      </c>
    </row>
    <row r="34" customFormat="false" ht="15" hidden="false" customHeight="false" outlineLevel="0" collapsed="false">
      <c r="B34" s="3" t="s">
        <v>93</v>
      </c>
      <c r="C34" s="4"/>
      <c r="D34" s="4"/>
      <c r="E34" s="4"/>
      <c r="F34" s="4"/>
      <c r="G34" s="4"/>
      <c r="H34" s="4"/>
      <c r="I34" s="4"/>
      <c r="J34" s="4"/>
    </row>
    <row r="35" customFormat="false" ht="30" hidden="false" customHeight="true" outlineLevel="0" collapsed="false">
      <c r="B35" s="8" t="s">
        <v>221</v>
      </c>
      <c r="C35" s="8"/>
      <c r="D35" s="8"/>
      <c r="E35" s="8"/>
      <c r="F35" s="11"/>
      <c r="G35" s="11"/>
    </row>
    <row r="36" customFormat="false" ht="30" hidden="false" customHeight="true" outlineLevel="0" collapsed="false">
      <c r="B36" s="8" t="s">
        <v>222</v>
      </c>
      <c r="C36" s="8"/>
      <c r="D36" s="8"/>
      <c r="E36" s="8"/>
      <c r="F36" s="25"/>
      <c r="G36" s="25"/>
    </row>
    <row r="37" customFormat="false" ht="30" hidden="false" customHeight="true" outlineLevel="0" collapsed="false">
      <c r="B37" s="8" t="s">
        <v>223</v>
      </c>
      <c r="C37" s="8"/>
      <c r="D37" s="8"/>
      <c r="E37" s="8"/>
      <c r="F37" s="16"/>
      <c r="G37" s="16"/>
    </row>
    <row r="38" customFormat="false" ht="30" hidden="false" customHeight="true" outlineLevel="0" collapsed="false">
      <c r="B38" s="8" t="s">
        <v>224</v>
      </c>
      <c r="C38" s="8"/>
      <c r="D38" s="8"/>
      <c r="E38" s="8"/>
      <c r="F38" s="16"/>
      <c r="G38" s="16"/>
    </row>
    <row r="39" customFormat="false" ht="30" hidden="false" customHeight="true" outlineLevel="0" collapsed="false">
      <c r="B39" s="8" t="s">
        <v>225</v>
      </c>
      <c r="C39" s="8"/>
      <c r="D39" s="8"/>
      <c r="E39" s="8"/>
      <c r="F39" s="16"/>
      <c r="G39" s="16"/>
    </row>
    <row r="40" customFormat="false" ht="129.75" hidden="false" customHeight="true" outlineLevel="0" collapsed="false">
      <c r="B40" s="8" t="s">
        <v>226</v>
      </c>
      <c r="C40" s="8"/>
      <c r="D40" s="8"/>
      <c r="E40" s="8"/>
      <c r="F40" s="22"/>
      <c r="G40" s="22"/>
      <c r="H40" s="22"/>
      <c r="I40" s="22"/>
      <c r="J40" s="22"/>
    </row>
  </sheetData>
  <mergeCells count="12">
    <mergeCell ref="B35:E35"/>
    <mergeCell ref="F35:G35"/>
    <mergeCell ref="B36:E36"/>
    <mergeCell ref="F36:G36"/>
    <mergeCell ref="B37:E37"/>
    <mergeCell ref="F37:G37"/>
    <mergeCell ref="B38:E38"/>
    <mergeCell ref="F38:G38"/>
    <mergeCell ref="B39:E39"/>
    <mergeCell ref="F39:G39"/>
    <mergeCell ref="B40:E40"/>
    <mergeCell ref="F40:J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30"/>
    <col collapsed="false" customWidth="true" hidden="false" outlineLevel="0" max="4" min="4" style="0" width="60"/>
    <col collapsed="false" customWidth="true" hidden="false" outlineLevel="0" max="6" min="5" style="0" width="12"/>
    <col collapsed="false" customWidth="true" hidden="false" outlineLevel="0" max="7" min="7" style="0" width="9"/>
    <col collapsed="false" customWidth="true" hidden="false" outlineLevel="0" max="8" min="8" style="0" width="40"/>
  </cols>
  <sheetData>
    <row r="1" customFormat="false" ht="17.35" hidden="false" customHeight="false" outlineLevel="0" collapsed="false">
      <c r="B1" s="1" t="s">
        <v>227</v>
      </c>
    </row>
    <row r="2" customFormat="false" ht="15" hidden="false" customHeight="false" outlineLevel="0" collapsed="false">
      <c r="B2" s="2" t="s">
        <v>228</v>
      </c>
    </row>
    <row r="4" customFormat="false" ht="30" hidden="false" customHeight="true" outlineLevel="0" collapsed="false">
      <c r="B4" s="6" t="s">
        <v>229</v>
      </c>
      <c r="C4" s="6" t="s">
        <v>230</v>
      </c>
      <c r="D4" s="6" t="s">
        <v>231</v>
      </c>
      <c r="E4" s="6" t="s">
        <v>232</v>
      </c>
      <c r="F4" s="6" t="s">
        <v>233</v>
      </c>
      <c r="G4" s="6" t="s">
        <v>13</v>
      </c>
      <c r="H4" s="6" t="s">
        <v>234</v>
      </c>
    </row>
    <row r="5" customFormat="false" ht="57.75" hidden="false" customHeight="true" outlineLevel="0" collapsed="false">
      <c r="B5" s="7" t="n">
        <v>1</v>
      </c>
      <c r="C5" s="27" t="s">
        <v>235</v>
      </c>
      <c r="D5" s="8" t="s">
        <v>236</v>
      </c>
      <c r="E5" s="11" t="s">
        <v>237</v>
      </c>
      <c r="F5" s="11" t="s">
        <v>238</v>
      </c>
      <c r="G5" s="25" t="n">
        <f aca="false">IF(E5="Pass",2,IF(E5="Partial",1,0))</f>
        <v>1</v>
      </c>
      <c r="H5" s="22" t="s">
        <v>239</v>
      </c>
    </row>
    <row r="6" customFormat="false" ht="57.75" hidden="false" customHeight="true" outlineLevel="0" collapsed="false">
      <c r="B6" s="7" t="n">
        <v>2</v>
      </c>
      <c r="C6" s="27" t="s">
        <v>240</v>
      </c>
      <c r="D6" s="8" t="s">
        <v>241</v>
      </c>
      <c r="E6" s="11"/>
      <c r="F6" s="11"/>
      <c r="G6" s="25"/>
      <c r="H6" s="22"/>
    </row>
    <row r="7" customFormat="false" ht="57.75" hidden="false" customHeight="true" outlineLevel="0" collapsed="false">
      <c r="B7" s="7" t="n">
        <v>3</v>
      </c>
      <c r="C7" s="27" t="s">
        <v>242</v>
      </c>
      <c r="D7" s="8" t="s">
        <v>243</v>
      </c>
      <c r="E7" s="11"/>
      <c r="F7" s="11"/>
      <c r="G7" s="25"/>
      <c r="H7" s="22"/>
    </row>
    <row r="8" customFormat="false" ht="57.75" hidden="false" customHeight="true" outlineLevel="0" collapsed="false">
      <c r="B8" s="7" t="n">
        <v>4</v>
      </c>
      <c r="C8" s="27" t="s">
        <v>244</v>
      </c>
      <c r="D8" s="8" t="s">
        <v>245</v>
      </c>
      <c r="E8" s="11"/>
      <c r="F8" s="11"/>
      <c r="G8" s="25"/>
      <c r="H8" s="22"/>
    </row>
    <row r="9" customFormat="false" ht="57.75" hidden="false" customHeight="true" outlineLevel="0" collapsed="false">
      <c r="B9" s="7" t="n">
        <v>5</v>
      </c>
      <c r="C9" s="27" t="s">
        <v>246</v>
      </c>
      <c r="D9" s="8" t="s">
        <v>247</v>
      </c>
      <c r="E9" s="11"/>
      <c r="F9" s="11"/>
      <c r="G9" s="25"/>
      <c r="H9" s="22"/>
    </row>
    <row r="10" customFormat="false" ht="57.75" hidden="false" customHeight="true" outlineLevel="0" collapsed="false">
      <c r="B10" s="7" t="n">
        <v>6</v>
      </c>
      <c r="C10" s="27" t="s">
        <v>248</v>
      </c>
      <c r="D10" s="8" t="s">
        <v>249</v>
      </c>
      <c r="E10" s="11"/>
      <c r="F10" s="11"/>
      <c r="G10" s="25"/>
      <c r="H10" s="22"/>
    </row>
    <row r="11" customFormat="false" ht="57.75" hidden="false" customHeight="true" outlineLevel="0" collapsed="false">
      <c r="B11" s="7" t="n">
        <v>7</v>
      </c>
      <c r="C11" s="27" t="s">
        <v>250</v>
      </c>
      <c r="D11" s="8" t="s">
        <v>251</v>
      </c>
      <c r="E11" s="11"/>
      <c r="F11" s="11"/>
      <c r="G11" s="25"/>
      <c r="H11" s="22"/>
    </row>
    <row r="12" customFormat="false" ht="57.75" hidden="false" customHeight="true" outlineLevel="0" collapsed="false">
      <c r="B12" s="7" t="n">
        <v>8</v>
      </c>
      <c r="C12" s="27" t="s">
        <v>252</v>
      </c>
      <c r="D12" s="8" t="s">
        <v>253</v>
      </c>
      <c r="E12" s="11"/>
      <c r="F12" s="11"/>
      <c r="G12" s="25"/>
      <c r="H12" s="22"/>
    </row>
    <row r="13" customFormat="false" ht="57.75" hidden="false" customHeight="true" outlineLevel="0" collapsed="false">
      <c r="B13" s="7" t="n">
        <v>9</v>
      </c>
      <c r="C13" s="27" t="s">
        <v>254</v>
      </c>
      <c r="D13" s="8" t="s">
        <v>255</v>
      </c>
      <c r="E13" s="11"/>
      <c r="F13" s="11"/>
      <c r="G13" s="25"/>
      <c r="H13" s="22"/>
    </row>
    <row r="14" customFormat="false" ht="57.75" hidden="false" customHeight="true" outlineLevel="0" collapsed="false">
      <c r="B14" s="7" t="n">
        <v>10</v>
      </c>
      <c r="C14" s="27" t="s">
        <v>256</v>
      </c>
      <c r="D14" s="8" t="s">
        <v>257</v>
      </c>
      <c r="E14" s="11"/>
      <c r="F14" s="11"/>
      <c r="G14" s="25"/>
      <c r="H14" s="22"/>
    </row>
    <row r="15" customFormat="false" ht="15" hidden="false" customHeight="false" outlineLevel="0" collapsed="false">
      <c r="B15" s="19" t="s">
        <v>258</v>
      </c>
    </row>
    <row r="17" customFormat="false" ht="15" hidden="false" customHeight="false" outlineLevel="0" collapsed="false">
      <c r="B17" s="3" t="s">
        <v>259</v>
      </c>
      <c r="C17" s="4"/>
      <c r="D17" s="4"/>
      <c r="E17" s="4"/>
      <c r="F17" s="4"/>
      <c r="G17" s="4"/>
      <c r="H17" s="4"/>
    </row>
    <row r="18" customFormat="false" ht="30" hidden="false" customHeight="true" outlineLevel="0" collapsed="false">
      <c r="C18" s="6" t="s">
        <v>260</v>
      </c>
      <c r="D18" s="6" t="s">
        <v>261</v>
      </c>
      <c r="E18" s="6" t="s">
        <v>262</v>
      </c>
      <c r="F18" s="6" t="s">
        <v>263</v>
      </c>
    </row>
    <row r="19" customFormat="false" ht="15" hidden="false" customHeight="false" outlineLevel="0" collapsed="false">
      <c r="C19" s="7" t="s">
        <v>264</v>
      </c>
      <c r="D19" s="13" t="n">
        <v>214</v>
      </c>
      <c r="E19" s="13" t="n">
        <v>130</v>
      </c>
      <c r="F19" s="28" t="n">
        <f aca="false">(D19-E19)/E19</f>
        <v>0.646153846153846</v>
      </c>
    </row>
    <row r="20" customFormat="false" ht="15" hidden="false" customHeight="false" outlineLevel="0" collapsed="false">
      <c r="C20" s="7" t="s">
        <v>265</v>
      </c>
      <c r="D20" s="13" t="n">
        <v>171</v>
      </c>
      <c r="E20" s="13" t="n">
        <v>130</v>
      </c>
      <c r="F20" s="28"/>
    </row>
    <row r="21" customFormat="false" ht="15" hidden="false" customHeight="false" outlineLevel="0" collapsed="false">
      <c r="C21" s="7" t="s">
        <v>266</v>
      </c>
      <c r="D21" s="13" t="n">
        <v>119</v>
      </c>
      <c r="E21" s="13" t="n">
        <v>130</v>
      </c>
      <c r="F21" s="28"/>
    </row>
    <row r="23" customFormat="false" ht="15" hidden="false" customHeight="false" outlineLevel="0" collapsed="false">
      <c r="B23" s="3" t="s">
        <v>267</v>
      </c>
      <c r="C23" s="4"/>
      <c r="D23" s="4"/>
      <c r="E23" s="4"/>
      <c r="F23" s="4"/>
      <c r="G23" s="4"/>
      <c r="H23" s="4"/>
    </row>
    <row r="24" customFormat="false" ht="30" hidden="false" customHeight="true" outlineLevel="0" collapsed="false">
      <c r="C24" s="8" t="s">
        <v>268</v>
      </c>
      <c r="D24" s="8"/>
      <c r="E24" s="8"/>
      <c r="F24" s="25"/>
    </row>
    <row r="25" customFormat="false" ht="30" hidden="false" customHeight="true" outlineLevel="0" collapsed="false">
      <c r="C25" s="8" t="s">
        <v>269</v>
      </c>
      <c r="D25" s="8"/>
      <c r="E25" s="8"/>
      <c r="F25" s="21"/>
    </row>
    <row r="26" customFormat="false" ht="30" hidden="false" customHeight="true" outlineLevel="0" collapsed="false">
      <c r="C26" s="8" t="s">
        <v>270</v>
      </c>
      <c r="D26" s="8"/>
      <c r="E26" s="8"/>
      <c r="F26" s="25"/>
    </row>
    <row r="27" customFormat="false" ht="30" hidden="false" customHeight="true" outlineLevel="0" collapsed="false">
      <c r="C27" s="8" t="s">
        <v>271</v>
      </c>
      <c r="D27" s="8"/>
      <c r="E27" s="8"/>
      <c r="F27" s="25"/>
    </row>
    <row r="28" customFormat="false" ht="30" hidden="false" customHeight="true" outlineLevel="0" collapsed="false">
      <c r="C28" s="8" t="s">
        <v>272</v>
      </c>
      <c r="D28" s="8"/>
      <c r="E28" s="8"/>
      <c r="F28" s="11"/>
      <c r="G28" s="11"/>
    </row>
    <row r="29" customFormat="false" ht="129.75" hidden="false" customHeight="true" outlineLevel="0" collapsed="false">
      <c r="B29" s="8" t="s">
        <v>273</v>
      </c>
      <c r="C29" s="8"/>
      <c r="D29" s="8"/>
      <c r="E29" s="22"/>
      <c r="F29" s="22"/>
      <c r="G29" s="22"/>
      <c r="H29" s="22"/>
    </row>
  </sheetData>
  <mergeCells count="8">
    <mergeCell ref="C24:E24"/>
    <mergeCell ref="C25:E25"/>
    <mergeCell ref="C26:E26"/>
    <mergeCell ref="C27:E27"/>
    <mergeCell ref="C28:E28"/>
    <mergeCell ref="F28:G28"/>
    <mergeCell ref="B29:D29"/>
    <mergeCell ref="E29:H29"/>
  </mergeCells>
  <dataValidations count="2">
    <dataValidation allowBlank="true" errorStyle="stop" operator="between" showDropDown="false" showErrorMessage="false" showInputMessage="false" sqref="E5:E14" type="list">
      <formula1>"Pass,Partial,Fail"</formula1>
      <formula2>0</formula2>
    </dataValidation>
    <dataValidation allowBlank="true" errorStyle="stop" operator="between" showDropDown="false" showErrorMessage="false" showInputMessage="false" sqref="F5:F14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2026-10-11T04:22:02Z</dcterms:created>
  <dc:creator>openpyxl</dc:creator>
  <dc:description/>
  <dc:language>en-US</dc:language>
  <cp:lastModifiedBy/>
  <dcterms:modified xsi:type="dcterms:W3CDTF">2026-10-11T04:22:02Z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